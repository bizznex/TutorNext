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izSaarthi_AI\product vision\"/>
    </mc:Choice>
  </mc:AlternateContent>
  <xr:revisionPtr revIDLastSave="0" documentId="13_ncr:1_{D1461411-92A8-4DEF-B17B-166C69D55E9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shboard" sheetId="1" r:id="rId1"/>
    <sheet name="Master Plan" sheetId="2" r:id="rId2"/>
    <sheet name="Done Inventory" sheetId="3" r:id="rId3"/>
    <sheet name="Remaining Work" sheetId="4" r:id="rId4"/>
    <sheet name="Vision Map" sheetId="5" r:id="rId5"/>
    <sheet name="Timeline" sheetId="6" r:id="rId6"/>
    <sheet name="Dependencies" sheetId="7" r:id="rId7"/>
    <sheet name="Launch Gates" sheetId="8" r:id="rId8"/>
    <sheet name="Risk Register" sheetId="9" r:id="rId9"/>
    <sheet name="Metrics" sheetId="10" r:id="rId10"/>
    <sheet name="Research Tracker" sheetId="11" r:id="rId11"/>
    <sheet name="Backlog" sheetId="12" r:id="rId12"/>
    <sheet name="Summary Data" sheetId="13" state="hidden" r:id="rId13"/>
    <sheet name="Lists" sheetId="1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3" l="1"/>
  <c r="B13" i="13"/>
  <c r="B12" i="13"/>
  <c r="B11" i="13"/>
  <c r="B8" i="13"/>
  <c r="B7" i="13"/>
  <c r="B6" i="13"/>
  <c r="B5" i="13"/>
  <c r="B4" i="13"/>
  <c r="B3" i="13"/>
  <c r="B2" i="13"/>
  <c r="E10" i="6"/>
  <c r="E9" i="6"/>
  <c r="E8" i="6"/>
  <c r="E7" i="6"/>
  <c r="E6" i="6"/>
  <c r="E5" i="6"/>
  <c r="E4" i="6"/>
  <c r="E3" i="6"/>
  <c r="E2" i="6"/>
  <c r="B11" i="1"/>
  <c r="B10" i="1"/>
  <c r="B9" i="1"/>
  <c r="B8" i="1"/>
  <c r="B7" i="1"/>
</calcChain>
</file>

<file path=xl/sharedStrings.xml><?xml version="1.0" encoding="utf-8"?>
<sst xmlns="http://schemas.openxmlformats.org/spreadsheetml/2006/main" count="3721" uniqueCount="975">
  <si>
    <t>ContexureEarth Tutor Project Command Center</t>
  </si>
  <si>
    <t>Purpose</t>
  </si>
  <si>
    <t>Vision-linked project planner covering what is already done, what remains, dependencies, launch gates, risks, research, and metrics.</t>
  </si>
  <si>
    <t>North Star</t>
  </si>
  <si>
    <t>Weekly completed tutor actions</t>
  </si>
  <si>
    <t>Last Updated</t>
  </si>
  <si>
    <t>KPI</t>
  </si>
  <si>
    <t>Value</t>
  </si>
  <si>
    <t>Meaning</t>
  </si>
  <si>
    <t>Total Tasks</t>
  </si>
  <si>
    <t>All tracked tasks</t>
  </si>
  <si>
    <t>Done Tasks</t>
  </si>
  <si>
    <t>Completed BizzNexx/ContexureEarth work</t>
  </si>
  <si>
    <t>Open P0 Tasks</t>
  </si>
  <si>
    <t>Critical work left</t>
  </si>
  <si>
    <t>Blocked Tasks</t>
  </si>
  <si>
    <t>Needs founder/engineering attention</t>
  </si>
  <si>
    <t>Open Critical Risks</t>
  </si>
  <si>
    <t>No launch with critical open risk</t>
  </si>
  <si>
    <t>Private Beta Gate Date</t>
  </si>
  <si>
    <t>Current target gate</t>
  </si>
  <si>
    <t>Phase</t>
  </si>
  <si>
    <t>Start</t>
  </si>
  <si>
    <t>End</t>
  </si>
  <si>
    <t>Mission</t>
  </si>
  <si>
    <t>Already Done / Existing BizzNexx Assets</t>
  </si>
  <si>
    <t>Foundation &amp; Product Definition</t>
  </si>
  <si>
    <t>Concierge Prototype</t>
  </si>
  <si>
    <t>Private Beta</t>
  </si>
  <si>
    <t>Paid Pilot</t>
  </si>
  <si>
    <t>Public Launch V1</t>
  </si>
  <si>
    <t>Growth &amp; Intelligence V1</t>
  </si>
  <si>
    <t>Learning Context V1</t>
  </si>
  <si>
    <t>Institution Expansion</t>
  </si>
  <si>
    <t>Task ID</t>
  </si>
  <si>
    <t>Workstream</t>
  </si>
  <si>
    <t>Title</t>
  </si>
  <si>
    <t>Description</t>
  </si>
  <si>
    <t>Owner</t>
  </si>
  <si>
    <t>Priority</t>
  </si>
  <si>
    <t>Status</t>
  </si>
  <si>
    <t>Dependencies</t>
  </si>
  <si>
    <t>Effort</t>
  </si>
  <si>
    <t>Acceptance Criteria</t>
  </si>
  <si>
    <t>Validation Signal</t>
  </si>
  <si>
    <t>Vision Link</t>
  </si>
  <si>
    <t>Notes</t>
  </si>
  <si>
    <t>DONE-001</t>
  </si>
  <si>
    <t>D0</t>
  </si>
  <si>
    <t>Strategy &amp; Product Definition</t>
  </si>
  <si>
    <t>Learning Studio strategy created</t>
  </si>
  <si>
    <t>Created Learning Studio business ontology, strategy plan, execution plan, and beta rollout readiness plan.</t>
  </si>
  <si>
    <t>Founder/Product</t>
  </si>
  <si>
    <t>P0</t>
  </si>
  <si>
    <t>Done</t>
  </si>
  <si>
    <t>Strategy docs exist and define tutor wedge.</t>
  </si>
  <si>
    <t>Learning Studio is defined as trust, trial, parent communication, and recurring-fee business.</t>
  </si>
  <si>
    <t>V1/V2/V4/V5</t>
  </si>
  <si>
    <t>DONE-002</t>
  </si>
  <si>
    <t>First validation wedge narrowed</t>
  </si>
  <si>
    <t>Narrowed initial beta wedge to Ananya Learning Studio and tutor/coach persona.</t>
  </si>
  <si>
    <t>Ananya is the demo anchor.</t>
  </si>
  <si>
    <t>Product can be reviewed through one concrete tutor story.</t>
  </si>
  <si>
    <t>V1</t>
  </si>
  <si>
    <t>DONE-003</t>
  </si>
  <si>
    <t>Frontend Engineering</t>
  </si>
  <si>
    <t>Parallel Beta Studio UI added</t>
  </si>
  <si>
    <t>Added Beta Studio tab for tutor businesses while preserving existing prototype screens.</t>
  </si>
  <si>
    <t>Frontend</t>
  </si>
  <si>
    <t>Tutor-specific surface exists.</t>
  </si>
  <si>
    <t>Reviewer can open Ananya Learning Studio Beta Studio.</t>
  </si>
  <si>
    <t>V1/V7</t>
  </si>
  <si>
    <t>DONE-004</t>
  </si>
  <si>
    <t>Parent-ready Learning Studio surface built</t>
  </si>
  <si>
    <t>Added teacher credibility, proof, course cards, trial inquiry form, parent journey, trial action queue, monthly fee actions, and FAQ.</t>
  </si>
  <si>
    <t>Frontend/Product</t>
  </si>
  <si>
    <t>Core tutor beta UI exists.</t>
  </si>
  <si>
    <t>The demo can show parent page to fee workflow.</t>
  </si>
  <si>
    <t>V1/V2/V4/V5/V6</t>
  </si>
  <si>
    <t>DONE-005</t>
  </si>
  <si>
    <t>Auth, Privacy &amp; Trust</t>
  </si>
  <si>
    <t>Beta safety notes added</t>
  </si>
  <si>
    <t>Added beta disclaimer, beta terms view, and inquiry consent/data-use copy.</t>
  </si>
  <si>
    <t>Security/Product</t>
  </si>
  <si>
    <t>Beta users see scope and data-use notes.</t>
  </si>
  <si>
    <t>No real-data review without safety copy.</t>
  </si>
  <si>
    <t>V7</t>
  </si>
  <si>
    <t>DONE-006</t>
  </si>
  <si>
    <t>Backend &amp; Data Model</t>
  </si>
  <si>
    <t>Ananya seed data enriched</t>
  </si>
  <si>
    <t>Aligned backend demo seed data with richer Learning Studio story, persona statuses, and message templates.</t>
  </si>
  <si>
    <t>Backend/Product</t>
  </si>
  <si>
    <t>Seed data supports realistic demo.</t>
  </si>
  <si>
    <t>Ananya data includes courses, proof, FAQs, leads, payments.</t>
  </si>
  <si>
    <t>V1/V2/V5</t>
  </si>
  <si>
    <t>DONE-007</t>
  </si>
  <si>
    <t>Private beta access controls added</t>
  </si>
  <si>
    <t>Added optional frontend access code, backend API key gate, environment examples, and production-safe settings hooks.</t>
  </si>
  <si>
    <t>Security/Backend/Frontend</t>
  </si>
  <si>
    <t>Beta access can be restricted.</t>
  </si>
  <si>
    <t>Demo can be shared with selected reviewers only.</t>
  </si>
  <si>
    <t>DONE-008</t>
  </si>
  <si>
    <t>Infrastructure &amp; Deployment</t>
  </si>
  <si>
    <t>Deployment blueprint prepared</t>
  </si>
  <si>
    <t>Added Postgres support, Gunicorn, static root, render.yaml, health endpoint, and deployment docs.</t>
  </si>
  <si>
    <t>Engineering</t>
  </si>
  <si>
    <t>Render deployment path exists.</t>
  </si>
  <si>
    <t>Backend health endpoint available.</t>
  </si>
  <si>
    <t>DONE-009</t>
  </si>
  <si>
    <t>GitHub Actions CI added</t>
  </si>
  <si>
    <t>Added frontend build and backend checks on main.</t>
  </si>
  <si>
    <t>Engineering/QA</t>
  </si>
  <si>
    <t>CI workflow exists.</t>
  </si>
  <si>
    <t>Build/check pipeline can run on main.</t>
  </si>
  <si>
    <t>DONE-010</t>
  </si>
  <si>
    <t>GitHub Pages preview workflow added</t>
  </si>
  <si>
    <t>Added no-new-cloud-account frontend preview path for UI-only guided review.</t>
  </si>
  <si>
    <t>P1</t>
  </si>
  <si>
    <t>Preview workflow and guide exist.</t>
  </si>
  <si>
    <t>UI can be reviewed without backend hosting.</t>
  </si>
  <si>
    <t>DONE-011</t>
  </si>
  <si>
    <t>Documentation &amp; Handoff</t>
  </si>
  <si>
    <t>Root README updated</t>
  </si>
  <si>
    <t>Updated README with BizzNexx product shape, Learning Studio beta, run commands, and deployment paths.</t>
  </si>
  <si>
    <t>Documentation</t>
  </si>
  <si>
    <t>README gives clear project entry.</t>
  </si>
  <si>
    <t>New reviewer can understand current status.</t>
  </si>
  <si>
    <t>DONE-012</t>
  </si>
  <si>
    <t>Operator Setup &amp; Support</t>
  </si>
  <si>
    <t>Beta review guide created</t>
  </si>
  <si>
    <t>Created guided review script for tutor beta reviews.</t>
  </si>
  <si>
    <t>Operations/Product</t>
  </si>
  <si>
    <t>Review guide covers parent page, inquiry, action queue, fees, and WTP.</t>
  </si>
  <si>
    <t>Beta calls have a consistent script.</t>
  </si>
  <si>
    <t>DONE-013</t>
  </si>
  <si>
    <t>Beta feedback form created</t>
  </si>
  <si>
    <t>Created structured beta feedback form with workflow fit, commercial signal, trust/safety, and product gaps.</t>
  </si>
  <si>
    <t>Feedback form can be used per reviewer.</t>
  </si>
  <si>
    <t>WTP and product-fit signals are captured.</t>
  </si>
  <si>
    <t>DONE-014</t>
  </si>
  <si>
    <t>QA, Testing &amp; Release Gates</t>
  </si>
  <si>
    <t>Private beta QA checklist created</t>
  </si>
  <si>
    <t>Created hosted deployment QA checks before sharing beta URL.</t>
  </si>
  <si>
    <t>QA</t>
  </si>
  <si>
    <t>Checklist covers HTTPS, access gate, Ananya, inquiry, message, payment, beta terms.</t>
  </si>
  <si>
    <t>No beta sharing without QA pass.</t>
  </si>
  <si>
    <t>DONE-015</t>
  </si>
  <si>
    <t>Tutor growth feature universe created</t>
  </si>
  <si>
    <t>Created feature strategy, persona mapping, heatmap, ranking model, and top build order.</t>
  </si>
  <si>
    <t>Product</t>
  </si>
  <si>
    <t>Feature universe and ranking are documented.</t>
  </si>
  <si>
    <t>MVP spine is clear.</t>
  </si>
  <si>
    <t>V1-V8</t>
  </si>
  <si>
    <t>DONE-016</t>
  </si>
  <si>
    <t>Production accountable tasklist created</t>
  </si>
  <si>
    <t>Created accountable workstreams across product, UX, FE, BE, auth, analytics, QA, infra, ops, support, GTM, and risk.</t>
  </si>
  <si>
    <t>Production task board exists.</t>
  </si>
  <si>
    <t>Team can execute using task IDs.</t>
  </si>
  <si>
    <t>DONE-017</t>
  </si>
  <si>
    <t>Team handoff guide created</t>
  </si>
  <si>
    <t>Created TEAM_HANDOFF_START_HERE.md with mission, decisions, MVP spine, first tasks, repo structure, and QA gates.</t>
  </si>
  <si>
    <t>Documentation/Product</t>
  </si>
  <si>
    <t>Team entry point exists.</t>
  </si>
  <si>
    <t>New contributor can start from handoff guide.</t>
  </si>
  <si>
    <t>DONE-018</t>
  </si>
  <si>
    <t>ContexureEarth vision mind map created</t>
  </si>
  <si>
    <t>Created product vision mind map and renamed vision file under ContexureEarth.</t>
  </si>
  <si>
    <t>Vision file exists under final name.</t>
  </si>
  <si>
    <t>Long-term learning intelligence direction captured.</t>
  </si>
  <si>
    <t>V8/V9/V10</t>
  </si>
  <si>
    <t>DONE-019</t>
  </si>
  <si>
    <t>ContexureEarth tutor roadmap created</t>
  </si>
  <si>
    <t>Created research-backed tutor product roadmap linking BizzNexx work to ContexureEarth.</t>
  </si>
  <si>
    <t>Roadmap covers research, build, GTM, launch, post-launch.</t>
  </si>
  <si>
    <t>Execution path is visible.</t>
  </si>
  <si>
    <t>V1-V10</t>
  </si>
  <si>
    <t>DONE-020</t>
  </si>
  <si>
    <t>BizzNexx critical evaluation created</t>
  </si>
  <si>
    <t>Evaluated what BizzNexx already achieves and how it should evolve into ContexureEarth Tutor.</t>
  </si>
  <si>
    <t>Evaluation gives brand architecture and product migration recommendation.</t>
  </si>
  <si>
    <t>Decision: ContexureEarth public brand; BizzNexx operating engine.</t>
  </si>
  <si>
    <t>DONE-021</t>
  </si>
  <si>
    <t>Initial verification passed</t>
  </si>
  <si>
    <t>npm run build, Django check, collectstatic dry run, compileall, and local UI response were verified previously.</t>
  </si>
  <si>
    <t>Verification evidence recorded in project log.</t>
  </si>
  <si>
    <t>Prototype is stable enough for deployment prep.</t>
  </si>
  <si>
    <t>DONE-022</t>
  </si>
  <si>
    <t>Marketing, Sales &amp; Launch</t>
  </si>
  <si>
    <t>Code pushed to GitHub</t>
  </si>
  <si>
    <t>Project log records code pushed with key commits for strategy, UI, safety, deployment, and preview.</t>
  </si>
  <si>
    <t>Commits are recorded.</t>
  </si>
  <si>
    <t>Remote repo has current work.</t>
  </si>
  <si>
    <t>IMD-001</t>
  </si>
  <si>
    <t>Create Render Blueprint deployment</t>
  </si>
  <si>
    <t>Create Render Blueprint from GitHub and let it provision frontend, backend, and Postgres database.</t>
  </si>
  <si>
    <t>Not Started</t>
  </si>
  <si>
    <t>DONE-008,DONE-022</t>
  </si>
  <si>
    <t>Render services exist and deploy successfully.</t>
  </si>
  <si>
    <t>Hosted API and frontend URLs available.</t>
  </si>
  <si>
    <t>IMD-002</t>
  </si>
  <si>
    <t>Wire beta API keys</t>
  </si>
  <si>
    <t>Copy backend BIZZNEXX_BETA_API_KEY to frontend VITE_BETA_API_KEY and set VITE_BETA_ACCESS_CODE.</t>
  </si>
  <si>
    <t>Security/Engineering</t>
  </si>
  <si>
    <t>IMD-001,DONE-007</t>
  </si>
  <si>
    <t>Frontend and backend keys match; access gate works.</t>
  </si>
  <si>
    <t>Unauthorized beta access blocked.</t>
  </si>
  <si>
    <t>IMD-003</t>
  </si>
  <si>
    <t>Run hosted beta QA checklist</t>
  </si>
  <si>
    <t>Confirm HTTPS, access gate, Ananya, Beta Studio, inquiry submit, lead creation, message preview, mark paid, beta terms.</t>
  </si>
  <si>
    <t>QA/Product</t>
  </si>
  <si>
    <t>IMD-002,DONE-014</t>
  </si>
  <si>
    <t>QA checklist completed with pass/fail evidence.</t>
  </si>
  <si>
    <t>No beta user sees broken hosted flow.</t>
  </si>
  <si>
    <t>IMD-004</t>
  </si>
  <si>
    <t>Research &amp; Customer Discovery</t>
  </si>
  <si>
    <t>Recruit first 5 tutor reviewers</t>
  </si>
  <si>
    <t>Use existing networks to schedule guided review calls with academic tutors/coaches.</t>
  </si>
  <si>
    <t>Founder/Research</t>
  </si>
  <si>
    <t>DONE-012,DONE-013</t>
  </si>
  <si>
    <t>5 calls scheduled or completed.</t>
  </si>
  <si>
    <t>At least 3 reviewers fit target ICP.</t>
  </si>
  <si>
    <t>IMD-005</t>
  </si>
  <si>
    <t>Capture beta feedback in structured form</t>
  </si>
  <si>
    <t>Use BETA_FEEDBACK_FORM for every reviewer and summarize share-worthiness, WTP, trust, and gaps.</t>
  </si>
  <si>
    <t>Research/Product</t>
  </si>
  <si>
    <t>IMD-003,IMD-004</t>
  </si>
  <si>
    <t>Each review has completed feedback form.</t>
  </si>
  <si>
    <t>Evidence informs next sprint.</t>
  </si>
  <si>
    <t>IMD-006</t>
  </si>
  <si>
    <t>Founder decision: brand architecture</t>
  </si>
  <si>
    <t>Confirm whether public brand is ContexureEarth Tutor with BizzNexx as internal/legacy engine.</t>
  </si>
  <si>
    <t>Founder</t>
  </si>
  <si>
    <t>Decision recorded in roadmap and handoff docs.</t>
  </si>
  <si>
    <t>No confusion in UI/demo language.</t>
  </si>
  <si>
    <t>IMD-007</t>
  </si>
  <si>
    <t>UX, Design &amp; Copy</t>
  </si>
  <si>
    <t>UI copy pass for ContexureEarth Tutor</t>
  </si>
  <si>
    <t>Replace generic microbusiness language in tutor path with learner, parent, course, batch, fee cycle, operating rhythm.</t>
  </si>
  <si>
    <t>UX/Product</t>
  </si>
  <si>
    <t>IMD-006,FE-001</t>
  </si>
  <si>
    <t>Tutor demo uses education-native language.</t>
  </si>
  <si>
    <t>Reviewers do not perceive it as generic CRM.</t>
  </si>
  <si>
    <t>V1/V8</t>
  </si>
  <si>
    <t>C-001</t>
  </si>
  <si>
    <t>Audit current frontend architecture</t>
  </si>
  <si>
    <t>Identify routes, state, API usage, design debt, responsive gaps, and what can be reused.</t>
  </si>
  <si>
    <t>Frontend audit is documented.</t>
  </si>
  <si>
    <t>Large implementation changes have a clear base.</t>
  </si>
  <si>
    <t>D-001</t>
  </si>
  <si>
    <t>Audit backend models/APIs</t>
  </si>
  <si>
    <t>Identify model gaps, workflow gaps, auth gaps, migration risks, and generic-to-education naming pressure.</t>
  </si>
  <si>
    <t>Backend</t>
  </si>
  <si>
    <t>Backend audit is documented.</t>
  </si>
  <si>
    <t>Tenant/auth/model decisions can be made.</t>
  </si>
  <si>
    <t>V7/V8</t>
  </si>
  <si>
    <t>A-001</t>
  </si>
  <si>
    <t>Define production personas</t>
  </si>
  <si>
    <t>Document academic tutor, exam coach, hobby teacher, skill trainer, fitness trainer, corporate trainer, and priority order.</t>
  </si>
  <si>
    <t>Persona definitions are approved.</t>
  </si>
  <si>
    <t>P-AST remains first ICP unless evidence changes.</t>
  </si>
  <si>
    <t>A-004</t>
  </si>
  <si>
    <t>Map public visitor journey</t>
  </si>
  <si>
    <t>Map parent path from shared link to inquiry, trial CTA, confirmation, and WhatsApp handoff.</t>
  </si>
  <si>
    <t>Product/UX</t>
  </si>
  <si>
    <t>Journey includes trust, course fit, fee clarity, trial, and privacy.</t>
  </si>
  <si>
    <t>Parent can understand next step in 30 seconds.</t>
  </si>
  <si>
    <t>V1/V2</t>
  </si>
  <si>
    <t>A-005</t>
  </si>
  <si>
    <t>Map owner inquiry-to-fee journey</t>
  </si>
  <si>
    <t>Map owner path from inquiry to trial to enrollment to fee tracking and proof/referral prompt.</t>
  </si>
  <si>
    <t>Every owner step has status, next action, and message template.</t>
  </si>
  <si>
    <t>Owner knows what to do today.</t>
  </si>
  <si>
    <t>V2/V4/V5/V6/V7</t>
  </si>
  <si>
    <t>D-002</t>
  </si>
  <si>
    <t>Define tenant/account model</t>
  </si>
  <si>
    <t>Decide account, owner, operator, support, tutor studio boundaries and data isolation rules.</t>
  </si>
  <si>
    <t>Backend/Security</t>
  </si>
  <si>
    <t>Multi-tutor data isolation is designed.</t>
  </si>
  <si>
    <t>No real beta without tenant boundary.</t>
  </si>
  <si>
    <t>E-001</t>
  </si>
  <si>
    <t>Choose production auth approach</t>
  </si>
  <si>
    <t>Choose email/password, OTP, managed auth, or phased approach for owner/operator dashboard.</t>
  </si>
  <si>
    <t>Security/Backend</t>
  </si>
  <si>
    <t>Auth decision covers roles, recovery, beta path, and production migration.</t>
  </si>
  <si>
    <t>Owner dashboard protected.</t>
  </si>
  <si>
    <t>N-001</t>
  </si>
  <si>
    <t>Choose production hosting architecture</t>
  </si>
  <si>
    <t>Decide staging/production deployment, database, static assets, backups, monitoring, domain, rollback.</t>
  </si>
  <si>
    <t>D-001,E-001</t>
  </si>
  <si>
    <t>Hosting architecture is approved.</t>
  </si>
  <si>
    <t>Staging can be created confidently.</t>
  </si>
  <si>
    <t>B-001</t>
  </si>
  <si>
    <t>Define ContexureEarth Tutor visual direction</t>
  </si>
  <si>
    <t>Set calm, credible, parent-friendly, mobile-first, education-native design principles.</t>
  </si>
  <si>
    <t>UX</t>
  </si>
  <si>
    <t>Moodboard/design principles approved.</t>
  </si>
  <si>
    <t>Tutor would not be embarrassed to share page.</t>
  </si>
  <si>
    <t>B-002</t>
  </si>
  <si>
    <t>Responsive layout system</t>
  </si>
  <si>
    <t>Define layout system for public page, owner dashboard, and operator console across mobile/desktop widths.</t>
  </si>
  <si>
    <t>UX/Frontend</t>
  </si>
  <si>
    <t>B-001,C-001</t>
  </si>
  <si>
    <t>Layouts work at 360, 390, 768, 1024, 1440 widths.</t>
  </si>
  <si>
    <t>No text overlap or awkward wrapping.</t>
  </si>
  <si>
    <t>D-004</t>
  </si>
  <si>
    <t>Define Course/Batch model</t>
  </si>
  <si>
    <t>Define course, batch, schedule, capacity, fee policy, board/class/subject fields.</t>
  </si>
  <si>
    <t>D-002,A-005</t>
  </si>
  <si>
    <t>Model supports academic tutor MVP and future exam/hobby variants.</t>
  </si>
  <si>
    <t>Course cards can be API-backed.</t>
  </si>
  <si>
    <t>D-005</t>
  </si>
  <si>
    <t>Define Inquiry model</t>
  </si>
  <si>
    <t>Define structured parent inquiry with academic context, consent, source, duplicate detection path.</t>
  </si>
  <si>
    <t>D-002,A-004</t>
  </si>
  <si>
    <t>Inquiry stores class, board, subject, concern, timing, trial interest, source.</t>
  </si>
  <si>
    <t>Owner avoids repeated basic questions.</t>
  </si>
  <si>
    <t>V2</t>
  </si>
  <si>
    <t>D-006</t>
  </si>
  <si>
    <t>Define Lead/Trial states</t>
  </si>
  <si>
    <t>Define parent inquiry, contacted, trial proposed, scheduled, attended, no-show, enrolled, lost, follow-later states.</t>
  </si>
  <si>
    <t>D-005,A-005</t>
  </si>
  <si>
    <t>States cover inquiry-to-enrollment journey.</t>
  </si>
  <si>
    <t>Trial outcomes are measurable.</t>
  </si>
  <si>
    <t>V4</t>
  </si>
  <si>
    <t>F-003</t>
  </si>
  <si>
    <t>WhatsApp &amp; Messaging</t>
  </si>
  <si>
    <t>Create WhatsApp template library</t>
  </si>
  <si>
    <t>Create first response, trial options, trial reminder, post-trial, fee reminder, progress, proof, referral messages.</t>
  </si>
  <si>
    <t>Product/Copy</t>
  </si>
  <si>
    <t>A-005,IMD-005</t>
  </si>
  <si>
    <t>Templates are polite, editable, parent-safe, context-aware.</t>
  </si>
  <si>
    <t>Tutors say tone feels natural.</t>
  </si>
  <si>
    <t>V3/V4/V5/V6</t>
  </si>
  <si>
    <t>C-003</t>
  </si>
  <si>
    <t>Implement public studio page route</t>
  </si>
  <si>
    <t>Productionize share-ready public page from API-backed tutor profile, courses, proof, FAQ, and CTA.</t>
  </si>
  <si>
    <t>B-002,D-004</t>
  </si>
  <si>
    <t>Page renders loading, error, fallback, and published states.</t>
  </si>
  <si>
    <t>Tutor says they would share page.</t>
  </si>
  <si>
    <t>C-004</t>
  </si>
  <si>
    <t>Implement tutor inquiry flow</t>
  </si>
  <si>
    <t>Create mobile-friendly inquiry form and confirmation state with consent and source tracking.</t>
  </si>
  <si>
    <t>C-003,D-005</t>
  </si>
  <si>
    <t>Inquiry submits successfully and creates backend lead.</t>
  </si>
  <si>
    <t>Parent knows what happens next.</t>
  </si>
  <si>
    <t>F-001</t>
  </si>
  <si>
    <t>Implement manual WhatsApp click-to-chat</t>
  </si>
  <si>
    <t>Open WhatsApp with prefilled context from inquiry/trial/fee action and copy fallback.</t>
  </si>
  <si>
    <t>C-004,F-003</t>
  </si>
  <si>
    <t>Owner can open/edit/copy WhatsApp messages.</t>
  </si>
  <si>
    <t>Manual handoff works before API automation.</t>
  </si>
  <si>
    <t>V3</t>
  </si>
  <si>
    <t>C-005</t>
  </si>
  <si>
    <t>Implement owner Today dashboard</t>
  </si>
  <si>
    <t>Create action queue for new inquiries, trials, fee dues, overdue payments, proof/referral prompts.</t>
  </si>
  <si>
    <t>A-005,D-006,F-001</t>
  </si>
  <si>
    <t>Owner sees actionable cards and can update statuses.</t>
  </si>
  <si>
    <t>Owner knows what needs attention in under 30 seconds.</t>
  </si>
  <si>
    <t>C-006</t>
  </si>
  <si>
    <t>Implement leads and trial workflow UI</t>
  </si>
  <si>
    <t>Owner can move inquiry through contacted, trial, enrolled, lost, follow-later states.</t>
  </si>
  <si>
    <t>C-005,D-006</t>
  </si>
  <si>
    <t>Owner can update trial statuses without confusion.</t>
  </si>
  <si>
    <t>Trial queue has no stale invisible leads.</t>
  </si>
  <si>
    <t>C-007</t>
  </si>
  <si>
    <t>Implement student/learner memory UI</t>
  </si>
  <si>
    <t>Show lightweight learner profile and notes connected to inquiry, enrollment, parent contact, next action.</t>
  </si>
  <si>
    <t>C-006,D-004,D-005</t>
  </si>
  <si>
    <t>Owner can view learner context and next action.</t>
  </si>
  <si>
    <t>Tutor sees value beyond CRM.</t>
  </si>
  <si>
    <t>V8</t>
  </si>
  <si>
    <t>C-008</t>
  </si>
  <si>
    <t>Implement fee tracker UI</t>
  </si>
  <si>
    <t>Owner can see due/overdue/part-paid/paid, preview reminders, and mark paid.</t>
  </si>
  <si>
    <t>C-007,D-004</t>
  </si>
  <si>
    <t>Owner identifies fee dues and sends reminder.</t>
  </si>
  <si>
    <t>At least one real fee cycle tracked.</t>
  </si>
  <si>
    <t>V5</t>
  </si>
  <si>
    <t>E-006</t>
  </si>
  <si>
    <t>Add inquiry consent timestamp</t>
  </si>
  <si>
    <t>Store consent version/timestamp with every public inquiry and display data-use note.</t>
  </si>
  <si>
    <t>D-005,C-004</t>
  </si>
  <si>
    <t>Every inquiry has consent metadata.</t>
  </si>
  <si>
    <t>No real data without consent trail.</t>
  </si>
  <si>
    <t>M-001</t>
  </si>
  <si>
    <t>Inquiry-to-lead backend tests</t>
  </si>
  <si>
    <t>Create backend tests for public inquiry capture, lead creation, and follow-up task creation.</t>
  </si>
  <si>
    <t>QA/Backend</t>
  </si>
  <si>
    <t>D-005,D-006,C-004</t>
  </si>
  <si>
    <t>Tests pass in CI.</t>
  </si>
  <si>
    <t>Workflow cannot silently break.</t>
  </si>
  <si>
    <t>V2/V7</t>
  </si>
  <si>
    <t>N-002</t>
  </si>
  <si>
    <t>Create staging environment</t>
  </si>
  <si>
    <t>Create staging deployment mirroring production configuration and seeded demo data.</t>
  </si>
  <si>
    <t>N-001,E-001,M-001</t>
  </si>
  <si>
    <t>Staging is stable and separate from production.</t>
  </si>
  <si>
    <t>Guided reviews use stable URL.</t>
  </si>
  <si>
    <t>SEC-010</t>
  </si>
  <si>
    <t>Implement real owner login</t>
  </si>
  <si>
    <t>Replace access-code-only beta gating with real owner authentication for dashboard.</t>
  </si>
  <si>
    <t>E-001,N-002</t>
  </si>
  <si>
    <t>Owner dashboard requires authenticated owner.</t>
  </si>
  <si>
    <t>Private user data is not public.</t>
  </si>
  <si>
    <t>SEC-011</t>
  </si>
  <si>
    <t>Implement operator/admin login</t>
  </si>
  <si>
    <t>Protect setup and operator console with role-specific authentication.</t>
  </si>
  <si>
    <t>Operator tools are not publicly accessible.</t>
  </si>
  <si>
    <t>No external user can access setup console.</t>
  </si>
  <si>
    <t>SEC-012</t>
  </si>
  <si>
    <t>Role-based access control</t>
  </si>
  <si>
    <t>Implement roles for owner, operator, admin, support with least privilege.</t>
  </si>
  <si>
    <t>SEC-011,D-002</t>
  </si>
  <si>
    <t>Permissions are enforced across APIs.</t>
  </si>
  <si>
    <t>Cross-role tests pass.</t>
  </si>
  <si>
    <t>SEC-013</t>
  </si>
  <si>
    <t>Privacy policy and beta terms review</t>
  </si>
  <si>
    <t>Prepare privacy policy, beta terms, data deletion promise, no guarantee claims, minor data caution.</t>
  </si>
  <si>
    <t>E-006,IMD-005</t>
  </si>
  <si>
    <t>Docs are reviewed and linked from beta.</t>
  </si>
  <si>
    <t>Users understand data and scope.</t>
  </si>
  <si>
    <t>SEC-014</t>
  </si>
  <si>
    <t>Data deletion workflow</t>
  </si>
  <si>
    <t>Create manual/admin deletion or anonymization process for parent/student records.</t>
  </si>
  <si>
    <t>Security/Backend/OPS</t>
  </si>
  <si>
    <t>SEC-012,SEC-013</t>
  </si>
  <si>
    <t>Deletion request can be fulfilled and logged.</t>
  </si>
  <si>
    <t>User data control exists.</t>
  </si>
  <si>
    <t>INFRA-010</t>
  </si>
  <si>
    <t>Configure backups and restore test</t>
  </si>
  <si>
    <t>Automate database backups and run at least one restore test.</t>
  </si>
  <si>
    <t>Engineering/Security</t>
  </si>
  <si>
    <t>Backup policy and restore evidence exist.</t>
  </si>
  <si>
    <t>No real beta without recoverability.</t>
  </si>
  <si>
    <t>INFRA-011</t>
  </si>
  <si>
    <t>Configure logs and error monitoring</t>
  </si>
  <si>
    <t>Capture backend/frontend errors and uptime alerts for beta.</t>
  </si>
  <si>
    <t>Errors are visible and triageable.</t>
  </si>
  <si>
    <t>Support can respond to issues.</t>
  </si>
  <si>
    <t>QA-010</t>
  </si>
  <si>
    <t>Responsive visual QA matrix</t>
  </si>
  <si>
    <t>Check core screens at mobile and desktop widths and record defects.</t>
  </si>
  <si>
    <t>QA/UX</t>
  </si>
  <si>
    <t>C-003,C-004,C-005,C-008</t>
  </si>
  <si>
    <t>Screens pass 360, 390, 768, 1024, 1440 widths.</t>
  </si>
  <si>
    <t>No text overlap or broken mobile layout.</t>
  </si>
  <si>
    <t>QA-011</t>
  </si>
  <si>
    <t>Private beta release gate review</t>
  </si>
  <si>
    <t>Run full private beta blocker checklist before inviting real users.</t>
  </si>
  <si>
    <t>SEC-014,INFRA-010,INFRA-011,QA-010</t>
  </si>
  <si>
    <t>Gate passes or blockers are documented.</t>
  </si>
  <si>
    <t>Real users are not invited prematurely.</t>
  </si>
  <si>
    <t>GTM-001</t>
  </si>
  <si>
    <t>Define Launch Pack offer</t>
  </si>
  <si>
    <t>Define setup scope, price, deliverables, exclusions, and support level.</t>
  </si>
  <si>
    <t>Founder/GTM</t>
  </si>
  <si>
    <t>IMD-005,QA-011</t>
  </si>
  <si>
    <t>Offer is simple and sellable.</t>
  </si>
  <si>
    <t>Tutors can understand why to pay.</t>
  </si>
  <si>
    <t>GTM-002</t>
  </si>
  <si>
    <t>Define Monthly Assist Pack</t>
  </si>
  <si>
    <t>Define monthly value around updates, dashboard, fee/follow-up support, proof/referral prompts.</t>
  </si>
  <si>
    <t>Monthly pack has clear recurring value.</t>
  </si>
  <si>
    <t>Tutor can explain why subscription continues.</t>
  </si>
  <si>
    <t>GTM-003</t>
  </si>
  <si>
    <t>Create sales demo script</t>
  </si>
  <si>
    <t>Create 12-minute demo showing page, inquiry, trial, WhatsApp, fee, proof, dashboard.</t>
  </si>
  <si>
    <t>GTM-001,C-005,C-008</t>
  </si>
  <si>
    <t>Demo script is repeatable.</t>
  </si>
  <si>
    <t>Prospect understands product without roadmap lecture.</t>
  </si>
  <si>
    <t>OPS-001</t>
  </si>
  <si>
    <t>Operator setup console V1</t>
  </si>
  <si>
    <t>Implement setup checklist, readiness score, blockers, missing proof, template readiness.</t>
  </si>
  <si>
    <t>OPS/Frontend/Backend</t>
  </si>
  <si>
    <t>C-003,C-004,F-003</t>
  </si>
  <si>
    <t>Operator can set up second tutor in under 90 minutes.</t>
  </si>
  <si>
    <t>Assisted setup becomes repeatable.</t>
  </si>
  <si>
    <t>DATA-001</t>
  </si>
  <si>
    <t>Analytics &amp; Metrics</t>
  </si>
  <si>
    <t>Source tracking dashboard</t>
  </si>
  <si>
    <t>Show which source creates inquiries and which converts to trial/enrollment.</t>
  </si>
  <si>
    <t>Data/Frontend</t>
  </si>
  <si>
    <t>DATA-000,C-006</t>
  </si>
  <si>
    <t>Owner sees source-wise lead quality.</t>
  </si>
  <si>
    <t>Tutor changes marketing behavior.</t>
  </si>
  <si>
    <t>DATA-000</t>
  </si>
  <si>
    <t>Define event taxonomy</t>
  </si>
  <si>
    <t>Define page view, CTA click, inquiry, trial, fee, message, proof, setup, owner action events.</t>
  </si>
  <si>
    <t>Data/Product</t>
  </si>
  <si>
    <t>A-004,A-005</t>
  </si>
  <si>
    <t>Events have trigger, properties, privacy level, owner.</t>
  </si>
  <si>
    <t>Activation funnel can be measured.</t>
  </si>
  <si>
    <t>DATA-002</t>
  </si>
  <si>
    <t>Weekly owner digest</t>
  </si>
  <si>
    <t>Create weekly digest of inquiries, trials, fees, proof prompts, and next actions.</t>
  </si>
  <si>
    <t>Data/Backend/Frontend</t>
  </si>
  <si>
    <t>DATA-000,C-005,C-008</t>
  </si>
  <si>
    <t>Digest is actionable and concise.</t>
  </si>
  <si>
    <t>Tutors check weekly.</t>
  </si>
  <si>
    <t>FE-020</t>
  </si>
  <si>
    <t>Testimonial request workflow</t>
  </si>
  <si>
    <t>Request, review, approve, hide, and publish testimonials/improvement stories.</t>
  </si>
  <si>
    <t>Frontend/Backend</t>
  </si>
  <si>
    <t>C-003,F-003</t>
  </si>
  <si>
    <t>Proof request loop exists.</t>
  </si>
  <si>
    <t>Tutor collects new proof.</t>
  </si>
  <si>
    <t>V6</t>
  </si>
  <si>
    <t>FE-021</t>
  </si>
  <si>
    <t>Referral request workflow</t>
  </si>
  <si>
    <t>Request referrals after positive milestone, result, trial, or monthly progress.</t>
  </si>
  <si>
    <t>FE-020,F-003</t>
  </si>
  <si>
    <t>Referral prompts are available and trackable.</t>
  </si>
  <si>
    <t>First referral request sent.</t>
  </si>
  <si>
    <t>GTM-004</t>
  </si>
  <si>
    <t>Close first 10 paid pilots</t>
  </si>
  <si>
    <t>Convert beta and warm prospects into paid pilot accounts.</t>
  </si>
  <si>
    <t>GTM-003,OPS-001,DATA-002</t>
  </si>
  <si>
    <t>10 paid pilots or equivalent signed commitments.</t>
  </si>
  <si>
    <t>Revenue signal validated.</t>
  </si>
  <si>
    <t>GTM-005</t>
  </si>
  <si>
    <t>Create 3 case studies</t>
  </si>
  <si>
    <t>Create before/after workflow proof from paid pilots.</t>
  </si>
  <si>
    <t>GTM-004,DATA-002</t>
  </si>
  <si>
    <t>Case studies include metrics, screenshots, quote, problem, outcome.</t>
  </si>
  <si>
    <t>Proof supports public launch.</t>
  </si>
  <si>
    <t>V6/V7</t>
  </si>
  <si>
    <t>INFRA-020</t>
  </si>
  <si>
    <t>Production environment</t>
  </si>
  <si>
    <t>Create production environment with domain, HTTPS, database, backups, monitoring, rollback.</t>
  </si>
  <si>
    <t>GTM-004,INFRA-010,INFRA-011</t>
  </si>
  <si>
    <t>Production deployment is stable and recoverable.</t>
  </si>
  <si>
    <t>Public launch can proceed.</t>
  </si>
  <si>
    <t>FE-030</t>
  </si>
  <si>
    <t>Self-serve onboarding V1</t>
  </si>
  <si>
    <t>Allow tutor to create/complete profile with assisted fallback.</t>
  </si>
  <si>
    <t>OPS-001,SEC-010</t>
  </si>
  <si>
    <t>Tutor reaches first value without full manual setup.</t>
  </si>
  <si>
    <t>First value under 30 minutes.</t>
  </si>
  <si>
    <t>GTM-010</t>
  </si>
  <si>
    <t>Public landing and pricing page</t>
  </si>
  <si>
    <t>Publish ContexureEarth Tutor landing page, pricing, demo, FAQ, case studies, privacy.</t>
  </si>
  <si>
    <t>Founder/GTM/Frontend</t>
  </si>
  <si>
    <t>GTM-005,INFRA-020</t>
  </si>
  <si>
    <t>Landing page explains offer and converts demo interest.</t>
  </si>
  <si>
    <t>Demo requests begin.</t>
  </si>
  <si>
    <t>OPS-010</t>
  </si>
  <si>
    <t>Support help center</t>
  </si>
  <si>
    <t>Create user docs for setup, inquiry, WhatsApp, fees, proof, privacy, troubleshooting.</t>
  </si>
  <si>
    <t>Support/OPS</t>
  </si>
  <si>
    <t>Help center covers common tasks.</t>
  </si>
  <si>
    <t>Support time per account reduces.</t>
  </si>
  <si>
    <t>DATA-010</t>
  </si>
  <si>
    <t>Activation and retention dashboard</t>
  </si>
  <si>
    <t>Track setup, share, inquiry, action completion, fee usage, retention, churn, support burden.</t>
  </si>
  <si>
    <t>DATA-002,INFRA-020</t>
  </si>
  <si>
    <t>Founder can review activation weekly.</t>
  </si>
  <si>
    <t>Roadmap decisions use real data.</t>
  </si>
  <si>
    <t>QA-020</t>
  </si>
  <si>
    <t>Public launch QA gate</t>
  </si>
  <si>
    <t>Run production monitoring, privacy, deletion, onboarding, billing, conversion, mobile, rollback checks.</t>
  </si>
  <si>
    <t>INFRA-020,FE-030,GTM-010,DATA-010</t>
  </si>
  <si>
    <t>Public launch checklist passes.</t>
  </si>
  <si>
    <t>No P0 blocker before campaign.</t>
  </si>
  <si>
    <t>GTM-011</t>
  </si>
  <si>
    <t>Controlled public launch campaign</t>
  </si>
  <si>
    <t>Launch to academic tutors and small coaching centers with content, demos, referrals, case studies.</t>
  </si>
  <si>
    <t>QA-020,GTM-010</t>
  </si>
  <si>
    <t>Campaign assets go live.</t>
  </si>
  <si>
    <t>50 paying customers or strong pipeline.</t>
  </si>
  <si>
    <t>FE-040</t>
  </si>
  <si>
    <t>P2</t>
  </si>
  <si>
    <t>Batch capacity and waitlist</t>
  </si>
  <si>
    <t>Add batch seats, filling/full/waitlist states, and trial-fit routing.</t>
  </si>
  <si>
    <t>Batch availability informs owner actions.</t>
  </si>
  <si>
    <t>Tutors avoid overbooking.</t>
  </si>
  <si>
    <t>V4/V7</t>
  </si>
  <si>
    <t>FE-041</t>
  </si>
  <si>
    <t>Attendance-lite</t>
  </si>
  <si>
    <t>Track class attendance and trigger absence/makeup prompts.</t>
  </si>
  <si>
    <t>Attendance can be marked quickly by batch.</t>
  </si>
  <si>
    <t>Absence follow-ups are sent.</t>
  </si>
  <si>
    <t>FE-042</t>
  </si>
  <si>
    <t>Parent progress update templates</t>
  </si>
  <si>
    <t>Create monthly progress update with covered topics, strengths, concerns, next focus.</t>
  </si>
  <si>
    <t>FE-041,F-003</t>
  </si>
  <si>
    <t>Tutor can send progress update without heavy data entry.</t>
  </si>
  <si>
    <t>Progress updates improve retention.</t>
  </si>
  <si>
    <t>AI-001</t>
  </si>
  <si>
    <t>AI &amp; Learning Intelligence</t>
  </si>
  <si>
    <t>AI inquiry summary</t>
  </si>
  <si>
    <t>Summarize inquiry into parent concern, class/board/subject, urgency, and suggested next message.</t>
  </si>
  <si>
    <t>AI/Product</t>
  </si>
  <si>
    <t>DATA-010,C-004</t>
  </si>
  <si>
    <t>AI summary is editable and never auto-sends.</t>
  </si>
  <si>
    <t>30%+ summaries accepted/edited.</t>
  </si>
  <si>
    <t>V2/V8</t>
  </si>
  <si>
    <t>AI-002</t>
  </si>
  <si>
    <t>AI message drafts</t>
  </si>
  <si>
    <t>Draft parent replies, fee reminders, progress notes, testimonial and referral messages with tone controls.</t>
  </si>
  <si>
    <t>AI-001,F-003</t>
  </si>
  <si>
    <t>AI drafts are safe, editable, and context-aware.</t>
  </si>
  <si>
    <t>Message writing time reduces.</t>
  </si>
  <si>
    <t>V3/V5/V8</t>
  </si>
  <si>
    <t>DATA-020</t>
  </si>
  <si>
    <t>Source quality dashboard</t>
  </si>
  <si>
    <t>Rank inquiry sources by volume, conversion, quality, and lost reasons.</t>
  </si>
  <si>
    <t>DATA-010,DATA-001</t>
  </si>
  <si>
    <t>Owner sees which channels create good inquiries.</t>
  </si>
  <si>
    <t>Tutor changes marketing focus.</t>
  </si>
  <si>
    <t>DATA-021</t>
  </si>
  <si>
    <t>Monthly business review</t>
  </si>
  <si>
    <t>Create monthly review of inquiries, trials, fees, proof, source quality, and next recommendations.</t>
  </si>
  <si>
    <t>DATA-020,FE-042</t>
  </si>
  <si>
    <t>Review gives concrete next actions.</t>
  </si>
  <si>
    <t>Owners review monthly.</t>
  </si>
  <si>
    <t>STR-020</t>
  </si>
  <si>
    <t>Scale segment decision</t>
  </si>
  <si>
    <t>Decide whether to expand to exam coaches, hobby teachers, or double down on academic tutors.</t>
  </si>
  <si>
    <t>DATA-021,GTM-011</t>
  </si>
  <si>
    <t>Decision memo uses retention, revenue, support, demand evidence.</t>
  </si>
  <si>
    <t>Next segment chosen with evidence.</t>
  </si>
  <si>
    <t>AI-010</t>
  </si>
  <si>
    <t>Learner Context Card V1</t>
  </si>
  <si>
    <t>Add context card: class, board, concern, confidence, language comfort, parent goal, next tutor action.</t>
  </si>
  <si>
    <t>AI/Product/Frontend</t>
  </si>
  <si>
    <t>FE-042,STR-020</t>
  </si>
  <si>
    <t>Context card is editable, gentle, and non-judgmental.</t>
  </si>
  <si>
    <t>Tutors use it in parent conversations.</t>
  </si>
  <si>
    <t>SEC-020</t>
  </si>
  <si>
    <t>Learning analytics safety policy</t>
  </si>
  <si>
    <t>Define consent, correction, deletion, non-labeling, visibility, confidence and human-confirmation rules.</t>
  </si>
  <si>
    <t>Safety policy governs all learner analytics.</t>
  </si>
  <si>
    <t>No harmful fixed labels.</t>
  </si>
  <si>
    <t>AI-011</t>
  </si>
  <si>
    <t>Intervention action recommendations</t>
  </si>
  <si>
    <t>Suggest tutor-confirmed next actions based on attendance, concerns, goals, and progress notes.</t>
  </si>
  <si>
    <t>AI-010,SEC-020</t>
  </si>
  <si>
    <t>Recommendations are explainable and editable.</t>
  </si>
  <si>
    <t>Interventions completed.</t>
  </si>
  <si>
    <t>AI-012</t>
  </si>
  <si>
    <t>Practical learning prompts</t>
  </si>
  <si>
    <t>Generate real-world examples and small projects linked to subject, learner context, local life, planet, and careers.</t>
  </si>
  <si>
    <t>Prompts connect concepts to practical life.</t>
  </si>
  <si>
    <t>Tutors use prompts in lessons.</t>
  </si>
  <si>
    <t>V9</t>
  </si>
  <si>
    <t>INST-001</t>
  </si>
  <si>
    <t>Institution ICP research</t>
  </si>
  <si>
    <t>Research schools/colleges/institutes needing learner support analytics and parent communication intelligence.</t>
  </si>
  <si>
    <t>Institution pain map and buying process documented.</t>
  </si>
  <si>
    <t>3 institution discovery calls completed.</t>
  </si>
  <si>
    <t>V10</t>
  </si>
  <si>
    <t>INST-002</t>
  </si>
  <si>
    <t>Multi-teacher account model</t>
  </si>
  <si>
    <t>Add roles for owner, teacher, coordinator, admin, support and cohort-level visibility.</t>
  </si>
  <si>
    <t>Product/Backend/Security</t>
  </si>
  <si>
    <t>INST-001,D-002</t>
  </si>
  <si>
    <t>Role model supports institution pilot.</t>
  </si>
  <si>
    <t>No cross-role data leakage.</t>
  </si>
  <si>
    <t>INST-003</t>
  </si>
  <si>
    <t>Cohort dashboard pilot</t>
  </si>
  <si>
    <t>Build cohort progress, attendance, intervention and parent communication dashboard.</t>
  </si>
  <si>
    <t>Product/Data/Frontend</t>
  </si>
  <si>
    <t>INST-002,AI-011</t>
  </si>
  <si>
    <t>Dashboard supports one institution pilot without ERP replacement.</t>
  </si>
  <si>
    <t>Pilot admin uses weekly.</t>
  </si>
  <si>
    <t>INST-004</t>
  </si>
  <si>
    <t>Institution pilot launch</t>
  </si>
  <si>
    <t>Launch controlled pilot with school, college, or coaching institution.</t>
  </si>
  <si>
    <t>Founder/Product/GTM</t>
  </si>
  <si>
    <t>Pilot contract, success metrics, support plan, data policy signed.</t>
  </si>
  <si>
    <t>Institution pilot active.</t>
  </si>
  <si>
    <t>Vision ID</t>
  </si>
  <si>
    <t>Pillar</t>
  </si>
  <si>
    <t>Founder Belief</t>
  </si>
  <si>
    <t>Product Translation</t>
  </si>
  <si>
    <t>Product Surface</t>
  </si>
  <si>
    <t>Tutor Trust Entry</t>
  </si>
  <si>
    <t>Tutors must look credible before parents inquire.</t>
  </si>
  <si>
    <t>Public page, proof, FAQ, local context.</t>
  </si>
  <si>
    <t>Public Trust Page</t>
  </si>
  <si>
    <t>Structured Context Capture</t>
  </si>
  <si>
    <t>Raw WhatsApp lacks class, board, concern, timing context.</t>
  </si>
  <si>
    <t>Inquiry form captures minimum useful learning/business context.</t>
  </si>
  <si>
    <t>Structured Inquiry</t>
  </si>
  <si>
    <t>Owner can reply without basic questions.</t>
  </si>
  <si>
    <t>WhatsApp-Native Operations</t>
  </si>
  <si>
    <t>Tutors will not abandon WhatsApp.</t>
  </si>
  <si>
    <t>Editable click-to-chat templates and action statuses.</t>
  </si>
  <si>
    <t>WhatsApp Handoff</t>
  </si>
  <si>
    <t>Owner sends/records follow-ups weekly.</t>
  </si>
  <si>
    <t>Trial To Enrollment Discipline</t>
  </si>
  <si>
    <t>Missed demos leak revenue.</t>
  </si>
  <si>
    <t>Trial status, reminders, post-trial follow-up, enrolled/lost reasons.</t>
  </si>
  <si>
    <t>Trial Workflow</t>
  </si>
  <si>
    <t>Trial outcomes are marked.</t>
  </si>
  <si>
    <t>Fee Clarity Without Awkwardness</t>
  </si>
  <si>
    <t>Recurring cash flow is relationship-sensitive.</t>
  </si>
  <si>
    <t>Fee cycles, ageing, polite reminders, mark paid/part paid.</t>
  </si>
  <si>
    <t>Fee Cycle</t>
  </si>
  <si>
    <t>Tutor tracks at least one real cycle.</t>
  </si>
  <si>
    <t>Proof And Referral Loop</t>
  </si>
  <si>
    <t>Good teaching often stays invisible.</t>
  </si>
  <si>
    <t>Testimonials, result proof, referral requests, approval workflow.</t>
  </si>
  <si>
    <t>Proof Loop</t>
  </si>
  <si>
    <t>Tutor collects proof monthly.</t>
  </si>
  <si>
    <t>Owner Operating Rhythm</t>
  </si>
  <si>
    <t>Dashboard must produce action, not decoration.</t>
  </si>
  <si>
    <t>Today queue, weekly digest, readiness and source signals.</t>
  </si>
  <si>
    <t>Operating Rhythm</t>
  </si>
  <si>
    <t>Weekly completed tutor actions increase.</t>
  </si>
  <si>
    <t>Learner Context</t>
  </si>
  <si>
    <t>The larger vision requires understanding learners beyond marks.</t>
  </si>
  <si>
    <t>Learner context card, parent goals, confidence, concerns, next action.</t>
  </si>
  <si>
    <t>Learner Context Card</t>
  </si>
  <si>
    <t>Tutors use context in parent conversations.</t>
  </si>
  <si>
    <t>Practical Learning</t>
  </si>
  <si>
    <t>Learning must connect to life, work, planet, community.</t>
  </si>
  <si>
    <t>Project prompts, real-world examples, contextual lesson enrichment.</t>
  </si>
  <si>
    <t>Practical Learning Engine</t>
  </si>
  <si>
    <t>Assignments include real-world context.</t>
  </si>
  <si>
    <t>Institutional Intelligence</t>
  </si>
  <si>
    <t>Tutors are entry point to schools/colleges.</t>
  </si>
  <si>
    <t>Cohort dashboards, intervention tracking, improvement reports.</t>
  </si>
  <si>
    <t>Institution Dashboards</t>
  </si>
  <si>
    <t>Institution pilot signed.</t>
  </si>
  <si>
    <t>Phase ID</t>
  </si>
  <si>
    <t>Duration Days</t>
  </si>
  <si>
    <t>Target Gate</t>
  </si>
  <si>
    <t>Alpha Gate</t>
  </si>
  <si>
    <t>Private Beta Gate</t>
  </si>
  <si>
    <t>P3</t>
  </si>
  <si>
    <t>Paid Pilot Gate</t>
  </si>
  <si>
    <t>P4</t>
  </si>
  <si>
    <t>Public Launch Gate</t>
  </si>
  <si>
    <t>P5</t>
  </si>
  <si>
    <t>Intelligence Gate</t>
  </si>
  <si>
    <t>P6</t>
  </si>
  <si>
    <t>Learning Context Gate</t>
  </si>
  <si>
    <t>P7</t>
  </si>
  <si>
    <t>Institution Gate</t>
  </si>
  <si>
    <t>Depends On</t>
  </si>
  <si>
    <t>Dependency Type</t>
  </si>
  <si>
    <t>Why It Matters</t>
  </si>
  <si>
    <t>Blocked If Missing</t>
  </si>
  <si>
    <t>Finish-to-start</t>
  </si>
  <si>
    <t>Task relies on upstream output being complete.</t>
  </si>
  <si>
    <t>Yes</t>
  </si>
  <si>
    <t>FE-001</t>
  </si>
  <si>
    <t>Gate</t>
  </si>
  <si>
    <t>Target Date</t>
  </si>
  <si>
    <t>Criteria</t>
  </si>
  <si>
    <t>Required Tasks</t>
  </si>
  <si>
    <t>Evidence / Notes</t>
  </si>
  <si>
    <t>Public page works; inquiry flow works; owner queue exists; WhatsApp handoff works; fee tracker exists; demo data labeled.</t>
  </si>
  <si>
    <t>C-003,C-004,C-005,C-008,F-001</t>
  </si>
  <si>
    <t>Owner login; tenant isolation; persistence; consent; beta terms; backup plan; smoke tests; mobile QA; support channel.</t>
  </si>
  <si>
    <t>SEC-010,D-002,E-006,SEC-014,INFRA-010,QA-011</t>
  </si>
  <si>
    <t>Repeatable setup; pricing clear; support docs; source tracking; weekly digest; proof/referral; case template.</t>
  </si>
  <si>
    <t>GTM-001,OPS-001,DATA-002,FE-020,FE-021,GTM-005</t>
  </si>
  <si>
    <t>Production monitoring; rollback; privacy; deletion flow; onboarding; billing; conversion dashboard; churn tracking.</t>
  </si>
  <si>
    <t>INFRA-020,FE-030,GTM-010,DATA-010,QA-020</t>
  </si>
  <si>
    <t>AI drafts accepted; analytics useful; support load manageable; data safety stable.</t>
  </si>
  <si>
    <t>AI-001,AI-002,DATA-021,STR-020</t>
  </si>
  <si>
    <t>Learner context used ethically; parent reports constructive; consent/correction ready.</t>
  </si>
  <si>
    <t>AI-010,SEC-020,AI-011,AI-012</t>
  </si>
  <si>
    <t>Tutor product retained; data privacy mature; institution pilot has signed success criteria.</t>
  </si>
  <si>
    <t>INST-001,INST-002,INST-003,INST-004</t>
  </si>
  <si>
    <t>Risk ID</t>
  </si>
  <si>
    <t>Risk</t>
  </si>
  <si>
    <t>Impact</t>
  </si>
  <si>
    <t>Likelihood</t>
  </si>
  <si>
    <t>Mitigation</t>
  </si>
  <si>
    <t>Linked Task</t>
  </si>
  <si>
    <t>R-001</t>
  </si>
  <si>
    <t>Identity drift between BizzNexx and ContexureEarth</t>
  </si>
  <si>
    <t>High</t>
  </si>
  <si>
    <t>Confuses customers and roadmap.</t>
  </si>
  <si>
    <t>Make ContexureEarth public education brand; BizzNexx internal/legacy engine.</t>
  </si>
  <si>
    <t>Open</t>
  </si>
  <si>
    <t>R-002</t>
  </si>
  <si>
    <t>Overbuilding LMS/ERP features</t>
  </si>
  <si>
    <t>Medium</t>
  </si>
  <si>
    <t>Slows launch and weakens wedge.</t>
  </si>
  <si>
    <t>Use decision rules and P3 deferral list.</t>
  </si>
  <si>
    <t>STR-002</t>
  </si>
  <si>
    <t>R-003</t>
  </si>
  <si>
    <t>Tutor expects guaranteed leads</t>
  </si>
  <si>
    <t>Creates mistrust and churn.</t>
  </si>
  <si>
    <t>Position as conversion/operations, not marketplace.</t>
  </si>
  <si>
    <t>GTM</t>
  </si>
  <si>
    <t>R-004</t>
  </si>
  <si>
    <t>Parent/student data leakage</t>
  </si>
  <si>
    <t>Critical</t>
  </si>
  <si>
    <t>Low</t>
  </si>
  <si>
    <t>Trust and legal risk.</t>
  </si>
  <si>
    <t>Tenant isolation, auth, consent, deletion, minimization.</t>
  </si>
  <si>
    <t>Security</t>
  </si>
  <si>
    <t>R-005</t>
  </si>
  <si>
    <t>WhatsApp automation too early</t>
  </si>
  <si>
    <t>Compliance and complexity risk.</t>
  </si>
  <si>
    <t>Launch manual handoff first.</t>
  </si>
  <si>
    <t>R-006</t>
  </si>
  <si>
    <t>Fee reminders feel aggressive</t>
  </si>
  <si>
    <t>Relationship damage.</t>
  </si>
  <si>
    <t>Polite templates and manual review before send.</t>
  </si>
  <si>
    <t>R-007</t>
  </si>
  <si>
    <t>Weak weekly retention</t>
  </si>
  <si>
    <t>Product becomes setup service only.</t>
  </si>
  <si>
    <t>Build owner action rhythm and weekly digest.</t>
  </si>
  <si>
    <t>R-008</t>
  </si>
  <si>
    <t>AI overclaims learner ability</t>
  </si>
  <si>
    <t>Can harm learners and trust.</t>
  </si>
  <si>
    <t>Human-confirmed, editable, non-judgmental insights.</t>
  </si>
  <si>
    <t>AI/Security</t>
  </si>
  <si>
    <t>R-009</t>
  </si>
  <si>
    <t>Support burden too high</t>
  </si>
  <si>
    <t>Margins suffer.</t>
  </si>
  <si>
    <t>Setup SOP, help center, fewer custom workflows.</t>
  </si>
  <si>
    <t>OPS</t>
  </si>
  <si>
    <t>R-010</t>
  </si>
  <si>
    <t>No paid willingness</t>
  </si>
  <si>
    <t>Business model not validated.</t>
  </si>
  <si>
    <t>Paid pilot pricing tests and cancellation interviews.</t>
  </si>
  <si>
    <t>Metric Type</t>
  </si>
  <si>
    <t>Metric</t>
  </si>
  <si>
    <t>Definition</t>
  </si>
  <si>
    <t>Cadence</t>
  </si>
  <si>
    <t>First Relevant Phase</t>
  </si>
  <si>
    <t>Target</t>
  </si>
  <si>
    <t>Count inquiry replies, trial follow-ups, fee updates, reminders, proof/referral/progress actions completed weekly.</t>
  </si>
  <si>
    <t>Weekly</t>
  </si>
  <si>
    <t>Product/Data</t>
  </si>
  <si>
    <t>25+ actions/week across beta by private beta end</t>
  </si>
  <si>
    <t>Activation</t>
  </si>
  <si>
    <t>Setup completed</t>
  </si>
  <si>
    <t>Tutor profile, courses, proof, FAQ, templates and public page ready.</t>
  </si>
  <si>
    <t>70% of onboarded tutors complete setup</t>
  </si>
  <si>
    <t>Public page shared</t>
  </si>
  <si>
    <t>Tutor shares link with parent/prospect.</t>
  </si>
  <si>
    <t>GTM/Data</t>
  </si>
  <si>
    <t>3 of first 5 pilot tutors share page</t>
  </si>
  <si>
    <t>First inquiry captured</t>
  </si>
  <si>
    <t>At least one real inquiry submitted.</t>
  </si>
  <si>
    <t>20 real inquiries by concierge exit</t>
  </si>
  <si>
    <t>Retention</t>
  </si>
  <si>
    <t>Dashboard weekly active tutors</t>
  </si>
  <si>
    <t>Tutors visiting action queue weekly.</t>
  </si>
  <si>
    <t>Data</t>
  </si>
  <si>
    <t>50% private beta WAU</t>
  </si>
  <si>
    <t>Workflow</t>
  </si>
  <si>
    <t>Inquiry status update rate</t>
  </si>
  <si>
    <t>Share of inquiries with status updated by owner.</t>
  </si>
  <si>
    <t>30%+ in private beta</t>
  </si>
  <si>
    <t>Revenue</t>
  </si>
  <si>
    <t>Paid pilot conversion</t>
  </si>
  <si>
    <t>Beta users converting to paid pilot.</t>
  </si>
  <si>
    <t>Monthly</t>
  </si>
  <si>
    <t>10 paid pilots</t>
  </si>
  <si>
    <t>Month-two retention</t>
  </si>
  <si>
    <t>Paid pilots active in second month.</t>
  </si>
  <si>
    <t>60%+</t>
  </si>
  <si>
    <t>Quality</t>
  </si>
  <si>
    <t>Setup time</t>
  </si>
  <si>
    <t>Time to create share-ready tutor account.</t>
  </si>
  <si>
    <t>Under 90 minutes</t>
  </si>
  <si>
    <t>Learning</t>
  </si>
  <si>
    <t>Learner context card usage</t>
  </si>
  <si>
    <t>Learners with useful context card reviewed by tutor.</t>
  </si>
  <si>
    <t>AI/Data</t>
  </si>
  <si>
    <t>50% of active learners in context pilots</t>
  </si>
  <si>
    <t>Research ID</t>
  </si>
  <si>
    <t>Name</t>
  </si>
  <si>
    <t>Segment</t>
  </si>
  <si>
    <t>City</t>
  </si>
  <si>
    <t>Contact</t>
  </si>
  <si>
    <t>Scheduled Date</t>
  </si>
  <si>
    <t>Completed Date</t>
  </si>
  <si>
    <t>Current Tools</t>
  </si>
  <si>
    <t>Top Pain</t>
  </si>
  <si>
    <t>Pain Score 1-5</t>
  </si>
  <si>
    <t>WTP Setup</t>
  </si>
  <si>
    <t>WTP Monthly</t>
  </si>
  <si>
    <t>Key Quote</t>
  </si>
  <si>
    <t>Next Step</t>
  </si>
  <si>
    <t>RCH-001</t>
  </si>
  <si>
    <t>Not Contacted</t>
  </si>
  <si>
    <t>RCH-002</t>
  </si>
  <si>
    <t>RCH-003</t>
  </si>
  <si>
    <t>RCH-004</t>
  </si>
  <si>
    <t>RCH-005</t>
  </si>
  <si>
    <t>RCH-006</t>
  </si>
  <si>
    <t>RCH-007</t>
  </si>
  <si>
    <t>RCH-008</t>
  </si>
  <si>
    <t>RCH-009</t>
  </si>
  <si>
    <t>RCH-010</t>
  </si>
  <si>
    <t>RCH-011</t>
  </si>
  <si>
    <t>RCH-012</t>
  </si>
  <si>
    <t>RCH-013</t>
  </si>
  <si>
    <t>RCH-014</t>
  </si>
  <si>
    <t>RCH-015</t>
  </si>
  <si>
    <t>RCH-016</t>
  </si>
  <si>
    <t>RCH-017</t>
  </si>
  <si>
    <t>RCH-018</t>
  </si>
  <si>
    <t>RCH-019</t>
  </si>
  <si>
    <t>RCH-020</t>
  </si>
  <si>
    <t>RCH-021</t>
  </si>
  <si>
    <t>RCH-022</t>
  </si>
  <si>
    <t>RCH-023</t>
  </si>
  <si>
    <t>RCH-024</t>
  </si>
  <si>
    <t>RCH-025</t>
  </si>
  <si>
    <t>RCH-026</t>
  </si>
  <si>
    <t>RCH-027</t>
  </si>
  <si>
    <t>RCH-028</t>
  </si>
  <si>
    <t>RCH-029</t>
  </si>
  <si>
    <t>RCH-030</t>
  </si>
  <si>
    <t>RCH-031</t>
  </si>
  <si>
    <t>RCH-032</t>
  </si>
  <si>
    <t>RCH-033</t>
  </si>
  <si>
    <t>RCH-034</t>
  </si>
  <si>
    <t>RCH-035</t>
  </si>
  <si>
    <t>RCH-036</t>
  </si>
  <si>
    <t>RCH-037</t>
  </si>
  <si>
    <t>RCH-038</t>
  </si>
  <si>
    <t>RCH-039</t>
  </si>
  <si>
    <t>RCH-040</t>
  </si>
  <si>
    <t>Backlog ID</t>
  </si>
  <si>
    <t>Item</t>
  </si>
  <si>
    <t>Category</t>
  </si>
  <si>
    <t>Why It Exists</t>
  </si>
  <si>
    <t>Trigger To Build</t>
  </si>
  <si>
    <t>BKL-001</t>
  </si>
  <si>
    <t>Google Forms import</t>
  </si>
  <si>
    <t>Scale</t>
  </si>
  <si>
    <t>Useful for tutors already using Forms.</t>
  </si>
  <si>
    <t>After native inquiry validates.</t>
  </si>
  <si>
    <t>BKL-002</t>
  </si>
  <si>
    <t>Google Sheets export</t>
  </si>
  <si>
    <t>Useful for trust and data portability.</t>
  </si>
  <si>
    <t>After paid pilot.</t>
  </si>
  <si>
    <t>BKL-003</t>
  </si>
  <si>
    <t>Payment gateway</t>
  </si>
  <si>
    <t>Deferred</t>
  </si>
  <si>
    <t>Adds complexity before manual fee value proven.</t>
  </si>
  <si>
    <t>After fee tracker retention.</t>
  </si>
  <si>
    <t>BKL-004</t>
  </si>
  <si>
    <t>Parent mobile app</t>
  </si>
  <si>
    <t>Too much scope before owner workflow retention.</t>
  </si>
  <si>
    <t>After institution/tutor demand.</t>
  </si>
  <si>
    <t>BKL-005</t>
  </si>
  <si>
    <t>Full LMS</t>
  </si>
  <si>
    <t>Competes with LMS and dilutes wedge.</t>
  </si>
  <si>
    <t>Only if paid users demand.</t>
  </si>
  <si>
    <t>BKL-006</t>
  </si>
  <si>
    <t>WhatsApp Cloud API automation</t>
  </si>
  <si>
    <t>P2/P3</t>
  </si>
  <si>
    <t>Useful after manual workflow proves value and opt-in is clear.</t>
  </si>
  <si>
    <t>After 100+ active tutors.</t>
  </si>
  <si>
    <t>BKL-007</t>
  </si>
  <si>
    <t>Corporate trainer proposal workflow</t>
  </si>
  <si>
    <t>Different ICP and sales cycle.</t>
  </si>
  <si>
    <t>After tutor engine matures.</t>
  </si>
  <si>
    <t>BKL-008</t>
  </si>
  <si>
    <t>Full test engine</t>
  </si>
  <si>
    <t>Exam-coach specific and data-heavy.</t>
  </si>
  <si>
    <t>After exam coach segment validated.</t>
  </si>
  <si>
    <t>Count</t>
  </si>
  <si>
    <t>In Progress</t>
  </si>
  <si>
    <t>In Review</t>
  </si>
  <si>
    <t>In QA</t>
  </si>
  <si>
    <t>Blocked</t>
  </si>
  <si>
    <t>Open Count</t>
  </si>
  <si>
    <t>Statuses</t>
  </si>
  <si>
    <t>Priorities</t>
  </si>
  <si>
    <t>Phases</t>
  </si>
  <si>
    <t>Workstreams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</si>
</sst>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F172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0F2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3"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FEE2E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Task Status Mix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'Summary Data'!$B$1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'Summary Data'!$A$2:$A$8</c:f>
              <c:strCache>
                <c:ptCount val="7"/>
                <c:pt idx="0">
                  <c:v>Done</c:v>
                </c:pt>
                <c:pt idx="1">
                  <c:v>In Progress</c:v>
                </c:pt>
                <c:pt idx="2">
                  <c:v>In Review</c:v>
                </c:pt>
                <c:pt idx="3">
                  <c:v>In QA</c:v>
                </c:pt>
                <c:pt idx="4">
                  <c:v>Blocked</c:v>
                </c:pt>
                <c:pt idx="5">
                  <c:v>Not Started</c:v>
                </c:pt>
                <c:pt idx="6">
                  <c:v>Deferred</c:v>
                </c:pt>
              </c:strCache>
            </c:strRef>
          </c:cat>
          <c:val>
            <c:numRef>
              <c:f>'Summary Data'!$B$2:$B$8</c:f>
              <c:numCache>
                <c:formatCode>General</c:formatCode>
                <c:ptCount val="7"/>
                <c:pt idx="0">
                  <c:v>22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74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A-4CC3-98A4-C7134963F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Open Tasks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Data'!$B$10</c:f>
              <c:strCache>
                <c:ptCount val="1"/>
                <c:pt idx="0">
                  <c:v>Open Count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'Summary Data'!$A$11:$A$14</c:f>
              <c:strCache>
                <c:ptCount val="4"/>
                <c:pt idx="0">
                  <c:v>P0</c:v>
                </c:pt>
                <c:pt idx="1">
                  <c:v>P1</c:v>
                </c:pt>
                <c:pt idx="2">
                  <c:v>P2</c:v>
                </c:pt>
                <c:pt idx="3">
                  <c:v>P3</c:v>
                </c:pt>
              </c:strCache>
            </c:strRef>
          </c:cat>
          <c:val>
            <c:numRef>
              <c:f>'Summary Data'!$B$11:$B$14</c:f>
              <c:numCache>
                <c:formatCode>General</c:formatCode>
                <c:ptCount val="4"/>
                <c:pt idx="0">
                  <c:v>44</c:v>
                </c:pt>
                <c:pt idx="1">
                  <c:v>15</c:v>
                </c:pt>
                <c:pt idx="2">
                  <c:v>15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2-469C-BC1B-E907EB285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Priority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Open Tasks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21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PlanTable" displayName="MasterPlanTable" ref="A1:P97">
  <autoFilter ref="A1:P97" xr:uid="{00000000-0009-0000-0100-000001000000}"/>
  <tableColumns count="16">
    <tableColumn id="1" xr3:uid="{00000000-0010-0000-0000-000001000000}" name="Task ID"/>
    <tableColumn id="2" xr3:uid="{00000000-0010-0000-0000-000002000000}" name="Phase"/>
    <tableColumn id="3" xr3:uid="{00000000-0010-0000-0000-000003000000}" name="Workstream"/>
    <tableColumn id="4" xr3:uid="{00000000-0010-0000-0000-000004000000}" name="Title"/>
    <tableColumn id="5" xr3:uid="{00000000-0010-0000-0000-000005000000}" name="Description"/>
    <tableColumn id="6" xr3:uid="{00000000-0010-0000-0000-000006000000}" name="Owner"/>
    <tableColumn id="7" xr3:uid="{00000000-0010-0000-0000-000007000000}" name="Priority"/>
    <tableColumn id="8" xr3:uid="{00000000-0010-0000-0000-000008000000}" name="Status"/>
    <tableColumn id="9" xr3:uid="{00000000-0010-0000-0000-000009000000}" name="Start"/>
    <tableColumn id="10" xr3:uid="{00000000-0010-0000-0000-00000A000000}" name="End"/>
    <tableColumn id="11" xr3:uid="{00000000-0010-0000-0000-00000B000000}" name="Dependencies"/>
    <tableColumn id="12" xr3:uid="{00000000-0010-0000-0000-00000C000000}" name="Effort"/>
    <tableColumn id="13" xr3:uid="{00000000-0010-0000-0000-00000D000000}" name="Acceptance Criteria"/>
    <tableColumn id="14" xr3:uid="{00000000-0010-0000-0000-00000E000000}" name="Validation Signal"/>
    <tableColumn id="15" xr3:uid="{00000000-0010-0000-0000-00000F000000}" name="Vision Link"/>
    <tableColumn id="16" xr3:uid="{00000000-0010-0000-0000-000010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oneInventoryTable" displayName="DoneInventoryTable" ref="A1:P23">
  <autoFilter ref="A1:P23" xr:uid="{00000000-0009-0000-0100-000002000000}"/>
  <tableColumns count="16">
    <tableColumn id="1" xr3:uid="{00000000-0010-0000-0100-000001000000}" name="Task ID"/>
    <tableColumn id="2" xr3:uid="{00000000-0010-0000-0100-000002000000}" name="Phase"/>
    <tableColumn id="3" xr3:uid="{00000000-0010-0000-0100-000003000000}" name="Workstream"/>
    <tableColumn id="4" xr3:uid="{00000000-0010-0000-0100-000004000000}" name="Title"/>
    <tableColumn id="5" xr3:uid="{00000000-0010-0000-0100-000005000000}" name="Description"/>
    <tableColumn id="6" xr3:uid="{00000000-0010-0000-0100-000006000000}" name="Owner"/>
    <tableColumn id="7" xr3:uid="{00000000-0010-0000-0100-000007000000}" name="Priority"/>
    <tableColumn id="8" xr3:uid="{00000000-0010-0000-0100-000008000000}" name="Status"/>
    <tableColumn id="9" xr3:uid="{00000000-0010-0000-0100-000009000000}" name="Start"/>
    <tableColumn id="10" xr3:uid="{00000000-0010-0000-0100-00000A000000}" name="End"/>
    <tableColumn id="11" xr3:uid="{00000000-0010-0000-0100-00000B000000}" name="Dependencies"/>
    <tableColumn id="12" xr3:uid="{00000000-0010-0000-0100-00000C000000}" name="Effort"/>
    <tableColumn id="13" xr3:uid="{00000000-0010-0000-0100-00000D000000}" name="Acceptance Criteria"/>
    <tableColumn id="14" xr3:uid="{00000000-0010-0000-0100-00000E000000}" name="Validation Signal"/>
    <tableColumn id="15" xr3:uid="{00000000-0010-0000-0100-00000F000000}" name="Vision Link"/>
    <tableColumn id="16" xr3:uid="{00000000-0010-0000-0100-000010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mainingWorkTable" displayName="RemainingWorkTable" ref="A1:P75">
  <autoFilter ref="A1:P75" xr:uid="{00000000-0009-0000-0100-000003000000}"/>
  <tableColumns count="16">
    <tableColumn id="1" xr3:uid="{00000000-0010-0000-0200-000001000000}" name="Task ID"/>
    <tableColumn id="2" xr3:uid="{00000000-0010-0000-0200-000002000000}" name="Phase"/>
    <tableColumn id="3" xr3:uid="{00000000-0010-0000-0200-000003000000}" name="Workstream"/>
    <tableColumn id="4" xr3:uid="{00000000-0010-0000-0200-000004000000}" name="Title"/>
    <tableColumn id="5" xr3:uid="{00000000-0010-0000-0200-000005000000}" name="Description"/>
    <tableColumn id="6" xr3:uid="{00000000-0010-0000-0200-000006000000}" name="Owner"/>
    <tableColumn id="7" xr3:uid="{00000000-0010-0000-0200-000007000000}" name="Priority"/>
    <tableColumn id="8" xr3:uid="{00000000-0010-0000-0200-000008000000}" name="Status"/>
    <tableColumn id="9" xr3:uid="{00000000-0010-0000-0200-000009000000}" name="Start"/>
    <tableColumn id="10" xr3:uid="{00000000-0010-0000-0200-00000A000000}" name="End"/>
    <tableColumn id="11" xr3:uid="{00000000-0010-0000-0200-00000B000000}" name="Dependencies"/>
    <tableColumn id="12" xr3:uid="{00000000-0010-0000-0200-00000C000000}" name="Effort"/>
    <tableColumn id="13" xr3:uid="{00000000-0010-0000-0200-00000D000000}" name="Acceptance Criteria"/>
    <tableColumn id="14" xr3:uid="{00000000-0010-0000-0200-00000E000000}" name="Validation Signal"/>
    <tableColumn id="15" xr3:uid="{00000000-0010-0000-0200-00000F000000}" name="Vision Link"/>
    <tableColumn id="16" xr3:uid="{00000000-0010-0000-0200-000010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isionMapTable" displayName="VisionMapTable" ref="A1:F11">
  <autoFilter ref="A1:F11" xr:uid="{00000000-0009-0000-0100-000004000000}"/>
  <tableColumns count="6">
    <tableColumn id="1" xr3:uid="{00000000-0010-0000-0300-000001000000}" name="Vision ID"/>
    <tableColumn id="2" xr3:uid="{00000000-0010-0000-0300-000002000000}" name="Pillar"/>
    <tableColumn id="3" xr3:uid="{00000000-0010-0000-0300-000003000000}" name="Founder Belief"/>
    <tableColumn id="4" xr3:uid="{00000000-0010-0000-0300-000004000000}" name="Product Translation"/>
    <tableColumn id="5" xr3:uid="{00000000-0010-0000-0300-000005000000}" name="Product Surface"/>
    <tableColumn id="6" xr3:uid="{00000000-0010-0000-0300-000006000000}" name="Validation Sign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melineTable" displayName="TimelineTable" ref="A1:F10">
  <autoFilter ref="A1:F10" xr:uid="{00000000-0009-0000-0100-000005000000}"/>
  <tableColumns count="6">
    <tableColumn id="1" xr3:uid="{00000000-0010-0000-0400-000001000000}" name="Phase ID"/>
    <tableColumn id="2" xr3:uid="{00000000-0010-0000-0400-000002000000}" name="Phase"/>
    <tableColumn id="3" xr3:uid="{00000000-0010-0000-0400-000003000000}" name="Start"/>
    <tableColumn id="4" xr3:uid="{00000000-0010-0000-0400-000004000000}" name="End"/>
    <tableColumn id="5" xr3:uid="{00000000-0010-0000-0400-000005000000}" name="Duration Days"/>
    <tableColumn id="6" xr3:uid="{00000000-0010-0000-0400-000006000000}" name="Target G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ependencyTable" displayName="DependencyTable" ref="A1:E164">
  <autoFilter ref="A1:E164" xr:uid="{00000000-0009-0000-0100-000006000000}"/>
  <tableColumns count="5">
    <tableColumn id="1" xr3:uid="{00000000-0010-0000-0500-000001000000}" name="Task ID"/>
    <tableColumn id="2" xr3:uid="{00000000-0010-0000-0500-000002000000}" name="Depends On"/>
    <tableColumn id="3" xr3:uid="{00000000-0010-0000-0500-000003000000}" name="Dependency Type"/>
    <tableColumn id="4" xr3:uid="{00000000-0010-0000-0500-000004000000}" name="Why It Matters"/>
    <tableColumn id="5" xr3:uid="{00000000-0010-0000-0500-000005000000}" name="Blocked If Miss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aunchGatesTable" displayName="LaunchGatesTable" ref="A1:G8">
  <autoFilter ref="A1:G8" xr:uid="{00000000-0009-0000-0100-000007000000}"/>
  <tableColumns count="7">
    <tableColumn id="1" xr3:uid="{00000000-0010-0000-0600-000001000000}" name="Gate"/>
    <tableColumn id="2" xr3:uid="{00000000-0010-0000-0600-000002000000}" name="Phase"/>
    <tableColumn id="3" xr3:uid="{00000000-0010-0000-0600-000003000000}" name="Target Date"/>
    <tableColumn id="4" xr3:uid="{00000000-0010-0000-0600-000004000000}" name="Criteria"/>
    <tableColumn id="5" xr3:uid="{00000000-0010-0000-0600-000005000000}" name="Required Tasks"/>
    <tableColumn id="6" xr3:uid="{00000000-0010-0000-0600-000006000000}" name="Status"/>
    <tableColumn id="7" xr3:uid="{00000000-0010-0000-0600-000007000000}" name="Evidence /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iskRegisterTable" displayName="RiskRegisterTable" ref="A1:I11">
  <autoFilter ref="A1:I11" xr:uid="{00000000-0009-0000-0100-000008000000}"/>
  <tableColumns count="9">
    <tableColumn id="1" xr3:uid="{00000000-0010-0000-0700-000001000000}" name="Risk ID"/>
    <tableColumn id="2" xr3:uid="{00000000-0010-0000-0700-000002000000}" name="Risk"/>
    <tableColumn id="3" xr3:uid="{00000000-0010-0000-0700-000003000000}" name="Impact"/>
    <tableColumn id="4" xr3:uid="{00000000-0010-0000-0700-000004000000}" name="Likelihood"/>
    <tableColumn id="5" xr3:uid="{00000000-0010-0000-0700-000005000000}" name="Why It Matters"/>
    <tableColumn id="6" xr3:uid="{00000000-0010-0000-0700-000006000000}" name="Mitigation"/>
    <tableColumn id="7" xr3:uid="{00000000-0010-0000-0700-000007000000}" name="Owner"/>
    <tableColumn id="8" xr3:uid="{00000000-0010-0000-0700-000008000000}" name="Status"/>
    <tableColumn id="9" xr3:uid="{00000000-0010-0000-0700-000009000000}" name="Linked Task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MetricsTable" displayName="MetricsTable" ref="A1:G11">
  <autoFilter ref="A1:G11" xr:uid="{00000000-0009-0000-0100-000009000000}"/>
  <tableColumns count="7">
    <tableColumn id="1" xr3:uid="{00000000-0010-0000-0800-000001000000}" name="Metric Type"/>
    <tableColumn id="2" xr3:uid="{00000000-0010-0000-0800-000002000000}" name="Metric"/>
    <tableColumn id="3" xr3:uid="{00000000-0010-0000-0800-000003000000}" name="Definition"/>
    <tableColumn id="4" xr3:uid="{00000000-0010-0000-0800-000004000000}" name="Cadence"/>
    <tableColumn id="5" xr3:uid="{00000000-0010-0000-0800-000005000000}" name="Owner"/>
    <tableColumn id="6" xr3:uid="{00000000-0010-0000-0800-000006000000}" name="First Relevant Phase"/>
    <tableColumn id="7" xr3:uid="{00000000-0010-0000-0800-000007000000}" name="Targe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ResearchTrackerTable" displayName="ResearchTrackerTable" ref="A1:O41">
  <autoFilter ref="A1:O41" xr:uid="{00000000-0009-0000-0100-00000A000000}"/>
  <tableColumns count="15">
    <tableColumn id="1" xr3:uid="{00000000-0010-0000-0900-000001000000}" name="Research ID"/>
    <tableColumn id="2" xr3:uid="{00000000-0010-0000-0900-000002000000}" name="Name"/>
    <tableColumn id="3" xr3:uid="{00000000-0010-0000-0900-000003000000}" name="Segment"/>
    <tableColumn id="4" xr3:uid="{00000000-0010-0000-0900-000004000000}" name="City"/>
    <tableColumn id="5" xr3:uid="{00000000-0010-0000-0900-000005000000}" name="Contact"/>
    <tableColumn id="6" xr3:uid="{00000000-0010-0000-0900-000006000000}" name="Status"/>
    <tableColumn id="7" xr3:uid="{00000000-0010-0000-0900-000007000000}" name="Scheduled Date"/>
    <tableColumn id="8" xr3:uid="{00000000-0010-0000-0900-000008000000}" name="Completed Date"/>
    <tableColumn id="9" xr3:uid="{00000000-0010-0000-0900-000009000000}" name="Current Tools"/>
    <tableColumn id="10" xr3:uid="{00000000-0010-0000-0900-00000A000000}" name="Top Pain"/>
    <tableColumn id="11" xr3:uid="{00000000-0010-0000-0900-00000B000000}" name="Pain Score 1-5"/>
    <tableColumn id="12" xr3:uid="{00000000-0010-0000-0900-00000C000000}" name="WTP Setup"/>
    <tableColumn id="13" xr3:uid="{00000000-0010-0000-0900-00000D000000}" name="WTP Monthly"/>
    <tableColumn id="14" xr3:uid="{00000000-0010-0000-0900-00000E000000}" name="Key Quote"/>
    <tableColumn id="15" xr3:uid="{00000000-0010-0000-0900-00000F000000}" name="Next Step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BacklogTable" displayName="BacklogTable" ref="A1:G9">
  <autoFilter ref="A1:G9" xr:uid="{00000000-0009-0000-0100-00000B000000}"/>
  <tableColumns count="7">
    <tableColumn id="1" xr3:uid="{00000000-0010-0000-0A00-000001000000}" name="Backlog ID"/>
    <tableColumn id="2" xr3:uid="{00000000-0010-0000-0A00-000002000000}" name="Item"/>
    <tableColumn id="3" xr3:uid="{00000000-0010-0000-0A00-000003000000}" name="Priority"/>
    <tableColumn id="4" xr3:uid="{00000000-0010-0000-0A00-000004000000}" name="Category"/>
    <tableColumn id="5" xr3:uid="{00000000-0010-0000-0A00-000005000000}" name="Why It Exists"/>
    <tableColumn id="6" xr3:uid="{00000000-0010-0000-0A00-000006000000}" name="Trigger To Build"/>
    <tableColumn id="7" xr3:uid="{00000000-0010-0000-0A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topLeftCell="A8" workbookViewId="0">
      <selection activeCell="B18" sqref="B18"/>
    </sheetView>
  </sheetViews>
  <sheetFormatPr defaultRowHeight="14.4" x14ac:dyDescent="0.3"/>
  <cols>
    <col min="1" max="1" width="34" customWidth="1"/>
    <col min="2" max="3" width="28" customWidth="1"/>
    <col min="4" max="4" width="70" customWidth="1"/>
  </cols>
  <sheetData>
    <row r="1" spans="1:7" x14ac:dyDescent="0.3">
      <c r="A1" s="7" t="s">
        <v>0</v>
      </c>
      <c r="B1" s="7"/>
      <c r="C1" s="7"/>
      <c r="D1" s="7"/>
      <c r="E1" s="7"/>
      <c r="F1" s="7"/>
      <c r="G1" s="7"/>
    </row>
    <row r="2" spans="1:7" x14ac:dyDescent="0.3">
      <c r="A2" s="2" t="s">
        <v>1</v>
      </c>
      <c r="B2" s="8" t="s">
        <v>2</v>
      </c>
      <c r="C2" s="8"/>
      <c r="D2" s="8"/>
      <c r="E2" s="8"/>
      <c r="F2" s="8"/>
      <c r="G2" s="8"/>
    </row>
    <row r="3" spans="1:7" x14ac:dyDescent="0.3">
      <c r="A3" s="2" t="s">
        <v>3</v>
      </c>
      <c r="B3" s="2" t="s">
        <v>4</v>
      </c>
      <c r="C3" s="2"/>
      <c r="D3" s="2"/>
      <c r="E3" s="2"/>
      <c r="F3" s="2"/>
      <c r="G3" s="2"/>
    </row>
    <row r="4" spans="1:7" x14ac:dyDescent="0.3">
      <c r="A4" s="2" t="s">
        <v>5</v>
      </c>
      <c r="B4" s="3">
        <v>46186</v>
      </c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4" t="s">
        <v>6</v>
      </c>
      <c r="B6" s="5" t="s">
        <v>7</v>
      </c>
      <c r="C6" s="2" t="s">
        <v>8</v>
      </c>
      <c r="D6" s="2"/>
      <c r="E6" s="2"/>
      <c r="F6" s="2"/>
      <c r="G6" s="2"/>
    </row>
    <row r="7" spans="1:7" x14ac:dyDescent="0.3">
      <c r="A7" s="4" t="s">
        <v>9</v>
      </c>
      <c r="B7" s="5">
        <f>COUNTA('Master Plan'!A2:A200)</f>
        <v>96</v>
      </c>
      <c r="C7" s="2" t="s">
        <v>10</v>
      </c>
      <c r="D7" s="2"/>
      <c r="E7" s="2"/>
      <c r="F7" s="2"/>
      <c r="G7" s="2"/>
    </row>
    <row r="8" spans="1:7" ht="28.8" x14ac:dyDescent="0.3">
      <c r="A8" s="4" t="s">
        <v>11</v>
      </c>
      <c r="B8" s="5">
        <f>COUNTIF('Master Plan'!H2:H200,"Done")</f>
        <v>22</v>
      </c>
      <c r="C8" s="2" t="s">
        <v>12</v>
      </c>
      <c r="D8" s="2"/>
      <c r="E8" s="2"/>
      <c r="F8" s="2"/>
      <c r="G8" s="2"/>
    </row>
    <row r="9" spans="1:7" x14ac:dyDescent="0.3">
      <c r="A9" s="4" t="s">
        <v>13</v>
      </c>
      <c r="B9" s="5">
        <f>COUNTIFS('Master Plan'!G2:G200,"P0",'Master Plan'!H2:H200,"&lt;&gt;Done")</f>
        <v>44</v>
      </c>
      <c r="C9" s="2" t="s">
        <v>14</v>
      </c>
      <c r="D9" s="2"/>
      <c r="E9" s="2"/>
      <c r="F9" s="2"/>
      <c r="G9" s="2"/>
    </row>
    <row r="10" spans="1:7" ht="28.8" x14ac:dyDescent="0.3">
      <c r="A10" s="4" t="s">
        <v>15</v>
      </c>
      <c r="B10" s="5">
        <f>COUNTIF('Master Plan'!H2:H200,"Blocked")</f>
        <v>0</v>
      </c>
      <c r="C10" s="2" t="s">
        <v>16</v>
      </c>
      <c r="D10" s="2"/>
      <c r="E10" s="2"/>
      <c r="F10" s="2"/>
      <c r="G10" s="2"/>
    </row>
    <row r="11" spans="1:7" x14ac:dyDescent="0.3">
      <c r="A11" s="4" t="s">
        <v>17</v>
      </c>
      <c r="B11" s="5">
        <f>COUNTIFS('Risk Register'!D2:D100,"Critical",'Risk Register'!H2:H100,"Open")</f>
        <v>0</v>
      </c>
      <c r="C11" s="2" t="s">
        <v>18</v>
      </c>
      <c r="D11" s="2"/>
      <c r="E11" s="2"/>
      <c r="F11" s="2"/>
      <c r="G11" s="2"/>
    </row>
    <row r="12" spans="1:7" x14ac:dyDescent="0.3">
      <c r="A12" s="4" t="s">
        <v>19</v>
      </c>
      <c r="B12" s="6">
        <v>46271</v>
      </c>
      <c r="C12" s="2" t="s">
        <v>20</v>
      </c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 t="s">
        <v>21</v>
      </c>
      <c r="B14" s="2" t="s">
        <v>22</v>
      </c>
      <c r="C14" s="2" t="s">
        <v>23</v>
      </c>
      <c r="D14" s="2" t="s">
        <v>24</v>
      </c>
      <c r="E14" s="2"/>
      <c r="F14" s="2"/>
      <c r="G14" s="2"/>
    </row>
    <row r="15" spans="1:7" x14ac:dyDescent="0.3">
      <c r="A15" s="2" t="s">
        <v>25</v>
      </c>
      <c r="B15" s="3">
        <v>46174</v>
      </c>
      <c r="C15" s="3">
        <v>46186</v>
      </c>
      <c r="D15" s="2"/>
      <c r="E15" s="2"/>
      <c r="F15" s="2"/>
      <c r="G15" s="2"/>
    </row>
    <row r="16" spans="1:7" x14ac:dyDescent="0.3">
      <c r="A16" s="2" t="s">
        <v>26</v>
      </c>
      <c r="B16" s="3">
        <v>46188</v>
      </c>
      <c r="C16" s="3">
        <v>46201</v>
      </c>
      <c r="D16" s="2"/>
      <c r="E16" s="2"/>
      <c r="F16" s="2"/>
      <c r="G16" s="2"/>
    </row>
    <row r="17" spans="1:7" x14ac:dyDescent="0.3">
      <c r="A17" s="2" t="s">
        <v>27</v>
      </c>
      <c r="B17" s="3">
        <v>46202</v>
      </c>
      <c r="C17" s="3">
        <v>46222</v>
      </c>
      <c r="D17" s="2"/>
      <c r="E17" s="2"/>
      <c r="F17" s="2"/>
      <c r="G17" s="2"/>
    </row>
    <row r="18" spans="1:7" x14ac:dyDescent="0.3">
      <c r="A18" s="2" t="s">
        <v>28</v>
      </c>
      <c r="B18" s="3">
        <v>46223</v>
      </c>
      <c r="C18" s="3">
        <v>46271</v>
      </c>
      <c r="D18" s="2"/>
      <c r="E18" s="2"/>
      <c r="F18" s="2"/>
      <c r="G18" s="2"/>
    </row>
    <row r="19" spans="1:7" x14ac:dyDescent="0.3">
      <c r="A19" s="2" t="s">
        <v>29</v>
      </c>
      <c r="B19" s="3">
        <v>46272</v>
      </c>
      <c r="C19" s="3">
        <v>46369</v>
      </c>
      <c r="D19" s="2"/>
      <c r="E19" s="2"/>
      <c r="F19" s="2"/>
      <c r="G19" s="2"/>
    </row>
    <row r="20" spans="1:7" x14ac:dyDescent="0.3">
      <c r="A20" s="2" t="s">
        <v>30</v>
      </c>
      <c r="B20" s="3">
        <v>46370</v>
      </c>
      <c r="C20" s="3">
        <v>46460</v>
      </c>
      <c r="D20" s="2"/>
      <c r="E20" s="2"/>
      <c r="F20" s="2"/>
      <c r="G20" s="2"/>
    </row>
    <row r="21" spans="1:7" x14ac:dyDescent="0.3">
      <c r="A21" s="2" t="s">
        <v>31</v>
      </c>
      <c r="B21" s="3">
        <v>46461</v>
      </c>
      <c r="C21" s="3">
        <v>46642</v>
      </c>
      <c r="D21" s="2"/>
      <c r="E21" s="2"/>
      <c r="F21" s="2"/>
      <c r="G21" s="2"/>
    </row>
    <row r="22" spans="1:7" x14ac:dyDescent="0.3">
      <c r="A22" s="2" t="s">
        <v>32</v>
      </c>
      <c r="B22" s="3">
        <v>46643</v>
      </c>
      <c r="C22" s="3">
        <v>46824</v>
      </c>
      <c r="D22" s="2"/>
      <c r="E22" s="2"/>
      <c r="F22" s="2"/>
      <c r="G22" s="2"/>
    </row>
    <row r="23" spans="1:7" x14ac:dyDescent="0.3">
      <c r="A23" s="2" t="s">
        <v>33</v>
      </c>
      <c r="B23" s="3">
        <v>46825</v>
      </c>
      <c r="C23" s="3">
        <v>47299</v>
      </c>
      <c r="D23" s="2"/>
      <c r="E23" s="2"/>
      <c r="F23" s="2"/>
      <c r="G23" s="2"/>
    </row>
  </sheetData>
  <mergeCells count="2">
    <mergeCell ref="A1:G1"/>
    <mergeCell ref="B2:G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7"/>
  <sheetViews>
    <sheetView showGridLines="0" tabSelected="1" workbookViewId="0">
      <pane ySplit="1" topLeftCell="A2" activePane="bottomLeft" state="frozen"/>
      <selection pane="bottomLeft" activeCell="D1" sqref="D1:D1048576"/>
    </sheetView>
  </sheetViews>
  <sheetFormatPr defaultRowHeight="14.4" x14ac:dyDescent="0.3"/>
  <cols>
    <col min="1" max="1" width="14" customWidth="1"/>
    <col min="2" max="2" width="10" customWidth="1"/>
    <col min="3" max="3" width="26" customWidth="1"/>
    <col min="4" max="4" width="34" customWidth="1"/>
    <col min="5" max="5" width="62" customWidth="1"/>
    <col min="6" max="6" width="22" customWidth="1"/>
    <col min="7" max="7" width="10" customWidth="1"/>
    <col min="8" max="8" width="16" customWidth="1"/>
    <col min="9" max="10" width="13" customWidth="1"/>
    <col min="11" max="11" width="30" customWidth="1"/>
    <col min="12" max="12" width="10" customWidth="1"/>
    <col min="13" max="13" width="66" customWidth="1"/>
    <col min="14" max="14" width="50" customWidth="1"/>
    <col min="15" max="15" width="18" customWidth="1"/>
    <col min="16" max="16" width="34" customWidth="1"/>
  </cols>
  <sheetData>
    <row r="1" spans="1:16" x14ac:dyDescent="0.3">
      <c r="A1" s="1" t="s">
        <v>34</v>
      </c>
      <c r="B1" s="1" t="s">
        <v>21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22</v>
      </c>
      <c r="J1" s="1" t="s">
        <v>23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 ht="28.8" x14ac:dyDescent="0.3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3">
        <v>46174</v>
      </c>
      <c r="J2" s="3">
        <v>46179</v>
      </c>
      <c r="K2" s="2"/>
      <c r="L2" s="2">
        <v>3</v>
      </c>
      <c r="M2" s="2" t="s">
        <v>55</v>
      </c>
      <c r="N2" s="2" t="s">
        <v>56</v>
      </c>
      <c r="O2" s="2" t="s">
        <v>57</v>
      </c>
      <c r="P2" s="2"/>
    </row>
    <row r="3" spans="1:16" ht="28.8" x14ac:dyDescent="0.3">
      <c r="A3" s="2" t="s">
        <v>58</v>
      </c>
      <c r="B3" s="2" t="s">
        <v>48</v>
      </c>
      <c r="C3" s="2" t="s">
        <v>49</v>
      </c>
      <c r="D3" s="2" t="s">
        <v>59</v>
      </c>
      <c r="E3" s="2" t="s">
        <v>60</v>
      </c>
      <c r="F3" s="2" t="s">
        <v>52</v>
      </c>
      <c r="G3" s="2" t="s">
        <v>53</v>
      </c>
      <c r="H3" s="2" t="s">
        <v>54</v>
      </c>
      <c r="I3" s="3">
        <v>46178</v>
      </c>
      <c r="J3" s="3">
        <v>46179</v>
      </c>
      <c r="K3" s="2" t="s">
        <v>47</v>
      </c>
      <c r="L3" s="2">
        <v>3</v>
      </c>
      <c r="M3" s="2" t="s">
        <v>61</v>
      </c>
      <c r="N3" s="2" t="s">
        <v>62</v>
      </c>
      <c r="O3" s="2" t="s">
        <v>63</v>
      </c>
      <c r="P3" s="2"/>
    </row>
    <row r="4" spans="1:16" ht="28.8" x14ac:dyDescent="0.3">
      <c r="A4" s="2" t="s">
        <v>64</v>
      </c>
      <c r="B4" s="2" t="s">
        <v>48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53</v>
      </c>
      <c r="H4" s="2" t="s">
        <v>54</v>
      </c>
      <c r="I4" s="3">
        <v>46179</v>
      </c>
      <c r="J4" s="3">
        <v>46180</v>
      </c>
      <c r="K4" s="2" t="s">
        <v>58</v>
      </c>
      <c r="L4" s="2">
        <v>3</v>
      </c>
      <c r="M4" s="2" t="s">
        <v>69</v>
      </c>
      <c r="N4" s="2" t="s">
        <v>70</v>
      </c>
      <c r="O4" s="2" t="s">
        <v>71</v>
      </c>
      <c r="P4" s="2"/>
    </row>
    <row r="5" spans="1:16" ht="28.8" x14ac:dyDescent="0.3">
      <c r="A5" s="2" t="s">
        <v>72</v>
      </c>
      <c r="B5" s="2" t="s">
        <v>48</v>
      </c>
      <c r="C5" s="2" t="s">
        <v>65</v>
      </c>
      <c r="D5" s="2" t="s">
        <v>73</v>
      </c>
      <c r="E5" s="2" t="s">
        <v>74</v>
      </c>
      <c r="F5" s="2" t="s">
        <v>75</v>
      </c>
      <c r="G5" s="2" t="s">
        <v>53</v>
      </c>
      <c r="H5" s="2" t="s">
        <v>54</v>
      </c>
      <c r="I5" s="3">
        <v>46179</v>
      </c>
      <c r="J5" s="3">
        <v>46180</v>
      </c>
      <c r="K5" s="2" t="s">
        <v>64</v>
      </c>
      <c r="L5" s="2">
        <v>3</v>
      </c>
      <c r="M5" s="2" t="s">
        <v>76</v>
      </c>
      <c r="N5" s="2" t="s">
        <v>77</v>
      </c>
      <c r="O5" s="2" t="s">
        <v>78</v>
      </c>
      <c r="P5" s="2"/>
    </row>
    <row r="6" spans="1:16" ht="28.8" x14ac:dyDescent="0.3">
      <c r="A6" s="2" t="s">
        <v>79</v>
      </c>
      <c r="B6" s="2" t="s">
        <v>48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53</v>
      </c>
      <c r="H6" s="2" t="s">
        <v>54</v>
      </c>
      <c r="I6" s="3">
        <v>46180</v>
      </c>
      <c r="J6" s="3">
        <v>46181</v>
      </c>
      <c r="K6" s="2" t="s">
        <v>72</v>
      </c>
      <c r="L6" s="2">
        <v>3</v>
      </c>
      <c r="M6" s="2" t="s">
        <v>84</v>
      </c>
      <c r="N6" s="2" t="s">
        <v>85</v>
      </c>
      <c r="O6" s="2" t="s">
        <v>86</v>
      </c>
      <c r="P6" s="2"/>
    </row>
    <row r="7" spans="1:16" ht="28.8" x14ac:dyDescent="0.3">
      <c r="A7" s="2" t="s">
        <v>87</v>
      </c>
      <c r="B7" s="2" t="s">
        <v>48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53</v>
      </c>
      <c r="H7" s="2" t="s">
        <v>54</v>
      </c>
      <c r="I7" s="3">
        <v>46180</v>
      </c>
      <c r="J7" s="3">
        <v>46181</v>
      </c>
      <c r="K7" s="2" t="s">
        <v>72</v>
      </c>
      <c r="L7" s="2">
        <v>3</v>
      </c>
      <c r="M7" s="2" t="s">
        <v>92</v>
      </c>
      <c r="N7" s="2" t="s">
        <v>93</v>
      </c>
      <c r="O7" s="2" t="s">
        <v>94</v>
      </c>
      <c r="P7" s="2"/>
    </row>
    <row r="8" spans="1:16" ht="28.8" x14ac:dyDescent="0.3">
      <c r="A8" s="2" t="s">
        <v>95</v>
      </c>
      <c r="B8" s="2" t="s">
        <v>48</v>
      </c>
      <c r="C8" s="2" t="s">
        <v>80</v>
      </c>
      <c r="D8" s="2" t="s">
        <v>96</v>
      </c>
      <c r="E8" s="2" t="s">
        <v>97</v>
      </c>
      <c r="F8" s="2" t="s">
        <v>98</v>
      </c>
      <c r="G8" s="2" t="s">
        <v>53</v>
      </c>
      <c r="H8" s="2" t="s">
        <v>54</v>
      </c>
      <c r="I8" s="3">
        <v>46181</v>
      </c>
      <c r="J8" s="3">
        <v>46182</v>
      </c>
      <c r="K8" s="2" t="s">
        <v>79</v>
      </c>
      <c r="L8" s="2">
        <v>3</v>
      </c>
      <c r="M8" s="2" t="s">
        <v>99</v>
      </c>
      <c r="N8" s="2" t="s">
        <v>100</v>
      </c>
      <c r="O8" s="2" t="s">
        <v>86</v>
      </c>
      <c r="P8" s="2"/>
    </row>
    <row r="9" spans="1:16" ht="28.8" x14ac:dyDescent="0.3">
      <c r="A9" s="2" t="s">
        <v>101</v>
      </c>
      <c r="B9" s="2" t="s">
        <v>48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53</v>
      </c>
      <c r="H9" s="2" t="s">
        <v>54</v>
      </c>
      <c r="I9" s="3">
        <v>46182</v>
      </c>
      <c r="J9" s="3">
        <v>46183</v>
      </c>
      <c r="K9" s="2" t="s">
        <v>95</v>
      </c>
      <c r="L9" s="2">
        <v>3</v>
      </c>
      <c r="M9" s="2" t="s">
        <v>106</v>
      </c>
      <c r="N9" s="2" t="s">
        <v>107</v>
      </c>
      <c r="O9" s="2" t="s">
        <v>86</v>
      </c>
      <c r="P9" s="2"/>
    </row>
    <row r="10" spans="1:16" x14ac:dyDescent="0.3">
      <c r="A10" s="2" t="s">
        <v>108</v>
      </c>
      <c r="B10" s="2" t="s">
        <v>48</v>
      </c>
      <c r="C10" s="2" t="s">
        <v>102</v>
      </c>
      <c r="D10" s="2" t="s">
        <v>109</v>
      </c>
      <c r="E10" s="2" t="s">
        <v>110</v>
      </c>
      <c r="F10" s="2" t="s">
        <v>111</v>
      </c>
      <c r="G10" s="2" t="s">
        <v>53</v>
      </c>
      <c r="H10" s="2" t="s">
        <v>54</v>
      </c>
      <c r="I10" s="3">
        <v>46183</v>
      </c>
      <c r="J10" s="3">
        <v>46183</v>
      </c>
      <c r="K10" s="2" t="s">
        <v>101</v>
      </c>
      <c r="L10" s="2">
        <v>3</v>
      </c>
      <c r="M10" s="2" t="s">
        <v>112</v>
      </c>
      <c r="N10" s="2" t="s">
        <v>113</v>
      </c>
      <c r="O10" s="2" t="s">
        <v>86</v>
      </c>
      <c r="P10" s="2"/>
    </row>
    <row r="11" spans="1:16" ht="28.8" x14ac:dyDescent="0.3">
      <c r="A11" s="2" t="s">
        <v>114</v>
      </c>
      <c r="B11" s="2" t="s">
        <v>48</v>
      </c>
      <c r="C11" s="2" t="s">
        <v>102</v>
      </c>
      <c r="D11" s="2" t="s">
        <v>115</v>
      </c>
      <c r="E11" s="2" t="s">
        <v>116</v>
      </c>
      <c r="F11" s="2" t="s">
        <v>105</v>
      </c>
      <c r="G11" s="2" t="s">
        <v>117</v>
      </c>
      <c r="H11" s="2" t="s">
        <v>54</v>
      </c>
      <c r="I11" s="3">
        <v>46183</v>
      </c>
      <c r="J11" s="3">
        <v>46183</v>
      </c>
      <c r="K11" s="2" t="s">
        <v>108</v>
      </c>
      <c r="L11" s="2">
        <v>3</v>
      </c>
      <c r="M11" s="2" t="s">
        <v>118</v>
      </c>
      <c r="N11" s="2" t="s">
        <v>119</v>
      </c>
      <c r="O11" s="2" t="s">
        <v>63</v>
      </c>
      <c r="P11" s="2"/>
    </row>
    <row r="12" spans="1:16" ht="28.8" x14ac:dyDescent="0.3">
      <c r="A12" s="2" t="s">
        <v>120</v>
      </c>
      <c r="B12" s="2" t="s">
        <v>48</v>
      </c>
      <c r="C12" s="2" t="s">
        <v>121</v>
      </c>
      <c r="D12" s="2" t="s">
        <v>122</v>
      </c>
      <c r="E12" s="2" t="s">
        <v>123</v>
      </c>
      <c r="F12" s="2" t="s">
        <v>124</v>
      </c>
      <c r="G12" s="2" t="s">
        <v>53</v>
      </c>
      <c r="H12" s="2" t="s">
        <v>54</v>
      </c>
      <c r="I12" s="3">
        <v>46183</v>
      </c>
      <c r="J12" s="3">
        <v>46184</v>
      </c>
      <c r="K12" s="2" t="s">
        <v>101</v>
      </c>
      <c r="L12" s="2">
        <v>3</v>
      </c>
      <c r="M12" s="2" t="s">
        <v>125</v>
      </c>
      <c r="N12" s="2" t="s">
        <v>126</v>
      </c>
      <c r="O12" s="2" t="s">
        <v>86</v>
      </c>
      <c r="P12" s="2"/>
    </row>
    <row r="13" spans="1:16" x14ac:dyDescent="0.3">
      <c r="A13" s="2" t="s">
        <v>127</v>
      </c>
      <c r="B13" s="2" t="s">
        <v>48</v>
      </c>
      <c r="C13" s="2" t="s">
        <v>128</v>
      </c>
      <c r="D13" s="2" t="s">
        <v>129</v>
      </c>
      <c r="E13" s="2" t="s">
        <v>130</v>
      </c>
      <c r="F13" s="2" t="s">
        <v>131</v>
      </c>
      <c r="G13" s="2" t="s">
        <v>53</v>
      </c>
      <c r="H13" s="2" t="s">
        <v>54</v>
      </c>
      <c r="I13" s="3">
        <v>46184</v>
      </c>
      <c r="J13" s="3">
        <v>46184</v>
      </c>
      <c r="K13" s="2" t="s">
        <v>72</v>
      </c>
      <c r="L13" s="2">
        <v>3</v>
      </c>
      <c r="M13" s="2" t="s">
        <v>132</v>
      </c>
      <c r="N13" s="2" t="s">
        <v>133</v>
      </c>
      <c r="O13" s="2" t="s">
        <v>94</v>
      </c>
      <c r="P13" s="2"/>
    </row>
    <row r="14" spans="1:16" ht="28.8" x14ac:dyDescent="0.3">
      <c r="A14" s="2" t="s">
        <v>134</v>
      </c>
      <c r="B14" s="2" t="s">
        <v>48</v>
      </c>
      <c r="C14" s="2" t="s">
        <v>128</v>
      </c>
      <c r="D14" s="2" t="s">
        <v>135</v>
      </c>
      <c r="E14" s="2" t="s">
        <v>136</v>
      </c>
      <c r="F14" s="2" t="s">
        <v>131</v>
      </c>
      <c r="G14" s="2" t="s">
        <v>53</v>
      </c>
      <c r="H14" s="2" t="s">
        <v>54</v>
      </c>
      <c r="I14" s="3">
        <v>46184</v>
      </c>
      <c r="J14" s="3">
        <v>46184</v>
      </c>
      <c r="K14" s="2" t="s">
        <v>127</v>
      </c>
      <c r="L14" s="2">
        <v>3</v>
      </c>
      <c r="M14" s="2" t="s">
        <v>137</v>
      </c>
      <c r="N14" s="2" t="s">
        <v>138</v>
      </c>
      <c r="O14" s="2" t="s">
        <v>86</v>
      </c>
      <c r="P14" s="2"/>
    </row>
    <row r="15" spans="1:16" ht="28.8" x14ac:dyDescent="0.3">
      <c r="A15" s="2" t="s">
        <v>139</v>
      </c>
      <c r="B15" s="2" t="s">
        <v>48</v>
      </c>
      <c r="C15" s="2" t="s">
        <v>140</v>
      </c>
      <c r="D15" s="2" t="s">
        <v>141</v>
      </c>
      <c r="E15" s="2" t="s">
        <v>142</v>
      </c>
      <c r="F15" s="2" t="s">
        <v>143</v>
      </c>
      <c r="G15" s="2" t="s">
        <v>53</v>
      </c>
      <c r="H15" s="2" t="s">
        <v>54</v>
      </c>
      <c r="I15" s="3">
        <v>46184</v>
      </c>
      <c r="J15" s="3">
        <v>46185</v>
      </c>
      <c r="K15" s="2" t="s">
        <v>101</v>
      </c>
      <c r="L15" s="2">
        <v>3</v>
      </c>
      <c r="M15" s="2" t="s">
        <v>144</v>
      </c>
      <c r="N15" s="2" t="s">
        <v>145</v>
      </c>
      <c r="O15" s="2" t="s">
        <v>86</v>
      </c>
      <c r="P15" s="2"/>
    </row>
    <row r="16" spans="1:16" ht="28.8" x14ac:dyDescent="0.3">
      <c r="A16" s="2" t="s">
        <v>146</v>
      </c>
      <c r="B16" s="2" t="s">
        <v>48</v>
      </c>
      <c r="C16" s="2" t="s">
        <v>49</v>
      </c>
      <c r="D16" s="2" t="s">
        <v>147</v>
      </c>
      <c r="E16" s="2" t="s">
        <v>148</v>
      </c>
      <c r="F16" s="2" t="s">
        <v>149</v>
      </c>
      <c r="G16" s="2" t="s">
        <v>53</v>
      </c>
      <c r="H16" s="2" t="s">
        <v>54</v>
      </c>
      <c r="I16" s="3">
        <v>46185</v>
      </c>
      <c r="J16" s="3">
        <v>46185</v>
      </c>
      <c r="K16" s="2" t="s">
        <v>47</v>
      </c>
      <c r="L16" s="2">
        <v>3</v>
      </c>
      <c r="M16" s="2" t="s">
        <v>150</v>
      </c>
      <c r="N16" s="2" t="s">
        <v>151</v>
      </c>
      <c r="O16" s="2" t="s">
        <v>152</v>
      </c>
      <c r="P16" s="2"/>
    </row>
    <row r="17" spans="1:16" ht="28.8" x14ac:dyDescent="0.3">
      <c r="A17" s="2" t="s">
        <v>153</v>
      </c>
      <c r="B17" s="2" t="s">
        <v>48</v>
      </c>
      <c r="C17" s="2" t="s">
        <v>49</v>
      </c>
      <c r="D17" s="2" t="s">
        <v>154</v>
      </c>
      <c r="E17" s="2" t="s">
        <v>155</v>
      </c>
      <c r="F17" s="2" t="s">
        <v>149</v>
      </c>
      <c r="G17" s="2" t="s">
        <v>53</v>
      </c>
      <c r="H17" s="2" t="s">
        <v>54</v>
      </c>
      <c r="I17" s="3">
        <v>46185</v>
      </c>
      <c r="J17" s="3">
        <v>46186</v>
      </c>
      <c r="K17" s="2" t="s">
        <v>146</v>
      </c>
      <c r="L17" s="2">
        <v>3</v>
      </c>
      <c r="M17" s="2" t="s">
        <v>156</v>
      </c>
      <c r="N17" s="2" t="s">
        <v>157</v>
      </c>
      <c r="O17" s="2" t="s">
        <v>86</v>
      </c>
      <c r="P17" s="2"/>
    </row>
    <row r="18" spans="1:16" ht="28.8" x14ac:dyDescent="0.3">
      <c r="A18" s="2" t="s">
        <v>158</v>
      </c>
      <c r="B18" s="2" t="s">
        <v>48</v>
      </c>
      <c r="C18" s="2" t="s">
        <v>121</v>
      </c>
      <c r="D18" s="2" t="s">
        <v>159</v>
      </c>
      <c r="E18" s="2" t="s">
        <v>160</v>
      </c>
      <c r="F18" s="2" t="s">
        <v>161</v>
      </c>
      <c r="G18" s="2" t="s">
        <v>53</v>
      </c>
      <c r="H18" s="2" t="s">
        <v>54</v>
      </c>
      <c r="I18" s="3">
        <v>46186</v>
      </c>
      <c r="J18" s="3">
        <v>46186</v>
      </c>
      <c r="K18" s="2" t="s">
        <v>153</v>
      </c>
      <c r="L18" s="2">
        <v>3</v>
      </c>
      <c r="M18" s="2" t="s">
        <v>162</v>
      </c>
      <c r="N18" s="2" t="s">
        <v>163</v>
      </c>
      <c r="O18" s="2" t="s">
        <v>86</v>
      </c>
      <c r="P18" s="2"/>
    </row>
    <row r="19" spans="1:16" ht="28.8" x14ac:dyDescent="0.3">
      <c r="A19" s="2" t="s">
        <v>164</v>
      </c>
      <c r="B19" s="2" t="s">
        <v>48</v>
      </c>
      <c r="C19" s="2" t="s">
        <v>49</v>
      </c>
      <c r="D19" s="2" t="s">
        <v>165</v>
      </c>
      <c r="E19" s="2" t="s">
        <v>166</v>
      </c>
      <c r="F19" s="2" t="s">
        <v>52</v>
      </c>
      <c r="G19" s="2" t="s">
        <v>117</v>
      </c>
      <c r="H19" s="2" t="s">
        <v>54</v>
      </c>
      <c r="I19" s="3">
        <v>46186</v>
      </c>
      <c r="J19" s="3">
        <v>46186</v>
      </c>
      <c r="K19" s="2"/>
      <c r="L19" s="2">
        <v>3</v>
      </c>
      <c r="M19" s="2" t="s">
        <v>167</v>
      </c>
      <c r="N19" s="2" t="s">
        <v>168</v>
      </c>
      <c r="O19" s="2" t="s">
        <v>169</v>
      </c>
      <c r="P19" s="2"/>
    </row>
    <row r="20" spans="1:16" ht="28.8" x14ac:dyDescent="0.3">
      <c r="A20" s="2" t="s">
        <v>170</v>
      </c>
      <c r="B20" s="2" t="s">
        <v>48</v>
      </c>
      <c r="C20" s="2" t="s">
        <v>49</v>
      </c>
      <c r="D20" s="2" t="s">
        <v>171</v>
      </c>
      <c r="E20" s="2" t="s">
        <v>172</v>
      </c>
      <c r="F20" s="2" t="s">
        <v>149</v>
      </c>
      <c r="G20" s="2" t="s">
        <v>117</v>
      </c>
      <c r="H20" s="2" t="s">
        <v>54</v>
      </c>
      <c r="I20" s="3">
        <v>46186</v>
      </c>
      <c r="J20" s="3">
        <v>46186</v>
      </c>
      <c r="K20" s="2" t="s">
        <v>164</v>
      </c>
      <c r="L20" s="2">
        <v>3</v>
      </c>
      <c r="M20" s="2" t="s">
        <v>173</v>
      </c>
      <c r="N20" s="2" t="s">
        <v>174</v>
      </c>
      <c r="O20" s="2" t="s">
        <v>175</v>
      </c>
      <c r="P20" s="2"/>
    </row>
    <row r="21" spans="1:16" ht="28.8" x14ac:dyDescent="0.3">
      <c r="A21" s="2" t="s">
        <v>176</v>
      </c>
      <c r="B21" s="2" t="s">
        <v>48</v>
      </c>
      <c r="C21" s="2" t="s">
        <v>49</v>
      </c>
      <c r="D21" s="2" t="s">
        <v>177</v>
      </c>
      <c r="E21" s="2" t="s">
        <v>178</v>
      </c>
      <c r="F21" s="2" t="s">
        <v>149</v>
      </c>
      <c r="G21" s="2" t="s">
        <v>117</v>
      </c>
      <c r="H21" s="2" t="s">
        <v>54</v>
      </c>
      <c r="I21" s="3">
        <v>46186</v>
      </c>
      <c r="J21" s="3">
        <v>46186</v>
      </c>
      <c r="K21" s="2" t="s">
        <v>170</v>
      </c>
      <c r="L21" s="2">
        <v>3</v>
      </c>
      <c r="M21" s="2" t="s">
        <v>179</v>
      </c>
      <c r="N21" s="2" t="s">
        <v>180</v>
      </c>
      <c r="O21" s="2" t="s">
        <v>175</v>
      </c>
      <c r="P21" s="2"/>
    </row>
    <row r="22" spans="1:16" ht="28.8" x14ac:dyDescent="0.3">
      <c r="A22" s="2" t="s">
        <v>181</v>
      </c>
      <c r="B22" s="2" t="s">
        <v>48</v>
      </c>
      <c r="C22" s="2" t="s">
        <v>140</v>
      </c>
      <c r="D22" s="2" t="s">
        <v>182</v>
      </c>
      <c r="E22" s="2" t="s">
        <v>183</v>
      </c>
      <c r="F22" s="2" t="s">
        <v>111</v>
      </c>
      <c r="G22" s="2" t="s">
        <v>53</v>
      </c>
      <c r="H22" s="2" t="s">
        <v>54</v>
      </c>
      <c r="I22" s="3">
        <v>46183</v>
      </c>
      <c r="J22" s="3">
        <v>46186</v>
      </c>
      <c r="K22" s="2" t="s">
        <v>108</v>
      </c>
      <c r="L22" s="2">
        <v>3</v>
      </c>
      <c r="M22" s="2" t="s">
        <v>184</v>
      </c>
      <c r="N22" s="2" t="s">
        <v>185</v>
      </c>
      <c r="O22" s="2" t="s">
        <v>86</v>
      </c>
      <c r="P22" s="2"/>
    </row>
    <row r="23" spans="1:16" ht="28.8" x14ac:dyDescent="0.3">
      <c r="A23" s="2" t="s">
        <v>186</v>
      </c>
      <c r="B23" s="2" t="s">
        <v>48</v>
      </c>
      <c r="C23" s="2" t="s">
        <v>187</v>
      </c>
      <c r="D23" s="2" t="s">
        <v>188</v>
      </c>
      <c r="E23" s="2" t="s">
        <v>189</v>
      </c>
      <c r="F23" s="2" t="s">
        <v>105</v>
      </c>
      <c r="G23" s="2" t="s">
        <v>53</v>
      </c>
      <c r="H23" s="2" t="s">
        <v>54</v>
      </c>
      <c r="I23" s="3">
        <v>46183</v>
      </c>
      <c r="J23" s="3">
        <v>46186</v>
      </c>
      <c r="K23" s="2" t="s">
        <v>181</v>
      </c>
      <c r="L23" s="2">
        <v>3</v>
      </c>
      <c r="M23" s="2" t="s">
        <v>190</v>
      </c>
      <c r="N23" s="2" t="s">
        <v>191</v>
      </c>
      <c r="O23" s="2" t="s">
        <v>86</v>
      </c>
      <c r="P23" s="2"/>
    </row>
    <row r="24" spans="1:16" ht="28.8" x14ac:dyDescent="0.3">
      <c r="A24" s="2" t="s">
        <v>192</v>
      </c>
      <c r="B24" s="2" t="s">
        <v>53</v>
      </c>
      <c r="C24" s="2" t="s">
        <v>102</v>
      </c>
      <c r="D24" s="2" t="s">
        <v>193</v>
      </c>
      <c r="E24" s="2" t="s">
        <v>194</v>
      </c>
      <c r="F24" s="2" t="s">
        <v>105</v>
      </c>
      <c r="G24" s="2" t="s">
        <v>53</v>
      </c>
      <c r="H24" s="2" t="s">
        <v>195</v>
      </c>
      <c r="I24" s="3">
        <v>46188</v>
      </c>
      <c r="J24" s="3">
        <v>46190</v>
      </c>
      <c r="K24" s="2" t="s">
        <v>196</v>
      </c>
      <c r="L24" s="2">
        <v>4</v>
      </c>
      <c r="M24" s="2" t="s">
        <v>197</v>
      </c>
      <c r="N24" s="2" t="s">
        <v>198</v>
      </c>
      <c r="O24" s="2" t="s">
        <v>86</v>
      </c>
      <c r="P24" s="2"/>
    </row>
    <row r="25" spans="1:16" ht="28.8" x14ac:dyDescent="0.3">
      <c r="A25" s="2" t="s">
        <v>199</v>
      </c>
      <c r="B25" s="2" t="s">
        <v>53</v>
      </c>
      <c r="C25" s="2" t="s">
        <v>80</v>
      </c>
      <c r="D25" s="2" t="s">
        <v>200</v>
      </c>
      <c r="E25" s="2" t="s">
        <v>201</v>
      </c>
      <c r="F25" s="2" t="s">
        <v>202</v>
      </c>
      <c r="G25" s="2" t="s">
        <v>53</v>
      </c>
      <c r="H25" s="2" t="s">
        <v>195</v>
      </c>
      <c r="I25" s="3">
        <v>46190</v>
      </c>
      <c r="J25" s="3">
        <v>46191</v>
      </c>
      <c r="K25" s="2" t="s">
        <v>203</v>
      </c>
      <c r="L25" s="2">
        <v>2</v>
      </c>
      <c r="M25" s="2" t="s">
        <v>204</v>
      </c>
      <c r="N25" s="2" t="s">
        <v>205</v>
      </c>
      <c r="O25" s="2" t="s">
        <v>86</v>
      </c>
      <c r="P25" s="2"/>
    </row>
    <row r="26" spans="1:16" ht="28.8" x14ac:dyDescent="0.3">
      <c r="A26" s="2" t="s">
        <v>206</v>
      </c>
      <c r="B26" s="2" t="s">
        <v>53</v>
      </c>
      <c r="C26" s="2" t="s">
        <v>140</v>
      </c>
      <c r="D26" s="2" t="s">
        <v>207</v>
      </c>
      <c r="E26" s="2" t="s">
        <v>208</v>
      </c>
      <c r="F26" s="2" t="s">
        <v>209</v>
      </c>
      <c r="G26" s="2" t="s">
        <v>53</v>
      </c>
      <c r="H26" s="2" t="s">
        <v>195</v>
      </c>
      <c r="I26" s="3">
        <v>46191</v>
      </c>
      <c r="J26" s="3">
        <v>46193</v>
      </c>
      <c r="K26" s="2" t="s">
        <v>210</v>
      </c>
      <c r="L26" s="2">
        <v>3</v>
      </c>
      <c r="M26" s="2" t="s">
        <v>211</v>
      </c>
      <c r="N26" s="2" t="s">
        <v>212</v>
      </c>
      <c r="O26" s="2" t="s">
        <v>86</v>
      </c>
      <c r="P26" s="2"/>
    </row>
    <row r="27" spans="1:16" ht="28.8" x14ac:dyDescent="0.3">
      <c r="A27" s="2" t="s">
        <v>213</v>
      </c>
      <c r="B27" s="2" t="s">
        <v>53</v>
      </c>
      <c r="C27" s="2" t="s">
        <v>214</v>
      </c>
      <c r="D27" s="2" t="s">
        <v>215</v>
      </c>
      <c r="E27" s="2" t="s">
        <v>216</v>
      </c>
      <c r="F27" s="2" t="s">
        <v>217</v>
      </c>
      <c r="G27" s="2" t="s">
        <v>53</v>
      </c>
      <c r="H27" s="2" t="s">
        <v>195</v>
      </c>
      <c r="I27" s="3">
        <v>46191</v>
      </c>
      <c r="J27" s="3">
        <v>46197</v>
      </c>
      <c r="K27" s="2" t="s">
        <v>218</v>
      </c>
      <c r="L27" s="2">
        <v>3</v>
      </c>
      <c r="M27" s="2" t="s">
        <v>219</v>
      </c>
      <c r="N27" s="2" t="s">
        <v>220</v>
      </c>
      <c r="O27" s="2" t="s">
        <v>94</v>
      </c>
      <c r="P27" s="2"/>
    </row>
    <row r="28" spans="1:16" ht="28.8" x14ac:dyDescent="0.3">
      <c r="A28" s="2" t="s">
        <v>221</v>
      </c>
      <c r="B28" s="2" t="s">
        <v>53</v>
      </c>
      <c r="C28" s="2" t="s">
        <v>214</v>
      </c>
      <c r="D28" s="2" t="s">
        <v>222</v>
      </c>
      <c r="E28" s="2" t="s">
        <v>223</v>
      </c>
      <c r="F28" s="2" t="s">
        <v>224</v>
      </c>
      <c r="G28" s="2" t="s">
        <v>53</v>
      </c>
      <c r="H28" s="2" t="s">
        <v>195</v>
      </c>
      <c r="I28" s="3">
        <v>46193</v>
      </c>
      <c r="J28" s="3">
        <v>46201</v>
      </c>
      <c r="K28" s="2" t="s">
        <v>225</v>
      </c>
      <c r="L28" s="2">
        <v>3</v>
      </c>
      <c r="M28" s="2" t="s">
        <v>226</v>
      </c>
      <c r="N28" s="2" t="s">
        <v>227</v>
      </c>
      <c r="O28" s="2" t="s">
        <v>86</v>
      </c>
      <c r="P28" s="2"/>
    </row>
    <row r="29" spans="1:16" ht="28.8" x14ac:dyDescent="0.3">
      <c r="A29" s="2" t="s">
        <v>228</v>
      </c>
      <c r="B29" s="2" t="s">
        <v>53</v>
      </c>
      <c r="C29" s="2" t="s">
        <v>49</v>
      </c>
      <c r="D29" s="2" t="s">
        <v>229</v>
      </c>
      <c r="E29" s="2" t="s">
        <v>230</v>
      </c>
      <c r="F29" s="2" t="s">
        <v>231</v>
      </c>
      <c r="G29" s="2" t="s">
        <v>53</v>
      </c>
      <c r="H29" s="2" t="s">
        <v>195</v>
      </c>
      <c r="I29" s="3">
        <v>46193</v>
      </c>
      <c r="J29" s="3">
        <v>46195</v>
      </c>
      <c r="K29" s="2" t="s">
        <v>176</v>
      </c>
      <c r="L29" s="2">
        <v>2</v>
      </c>
      <c r="M29" s="2" t="s">
        <v>232</v>
      </c>
      <c r="N29" s="2" t="s">
        <v>233</v>
      </c>
      <c r="O29" s="2" t="s">
        <v>175</v>
      </c>
      <c r="P29" s="2"/>
    </row>
    <row r="30" spans="1:16" ht="28.8" x14ac:dyDescent="0.3">
      <c r="A30" s="2" t="s">
        <v>234</v>
      </c>
      <c r="B30" s="2" t="s">
        <v>53</v>
      </c>
      <c r="C30" s="2" t="s">
        <v>235</v>
      </c>
      <c r="D30" s="2" t="s">
        <v>236</v>
      </c>
      <c r="E30" s="2" t="s">
        <v>237</v>
      </c>
      <c r="F30" s="2" t="s">
        <v>238</v>
      </c>
      <c r="G30" s="2" t="s">
        <v>53</v>
      </c>
      <c r="H30" s="2" t="s">
        <v>195</v>
      </c>
      <c r="I30" s="3">
        <v>46195</v>
      </c>
      <c r="J30" s="3">
        <v>46200</v>
      </c>
      <c r="K30" s="2" t="s">
        <v>239</v>
      </c>
      <c r="L30" s="2">
        <v>4</v>
      </c>
      <c r="M30" s="2" t="s">
        <v>240</v>
      </c>
      <c r="N30" s="2" t="s">
        <v>241</v>
      </c>
      <c r="O30" s="2" t="s">
        <v>242</v>
      </c>
      <c r="P30" s="2"/>
    </row>
    <row r="31" spans="1:16" ht="28.8" x14ac:dyDescent="0.3">
      <c r="A31" s="2" t="s">
        <v>243</v>
      </c>
      <c r="B31" s="2" t="s">
        <v>53</v>
      </c>
      <c r="C31" s="2" t="s">
        <v>65</v>
      </c>
      <c r="D31" s="2" t="s">
        <v>244</v>
      </c>
      <c r="E31" s="2" t="s">
        <v>245</v>
      </c>
      <c r="F31" s="2" t="s">
        <v>68</v>
      </c>
      <c r="G31" s="2" t="s">
        <v>53</v>
      </c>
      <c r="H31" s="2" t="s">
        <v>195</v>
      </c>
      <c r="I31" s="3">
        <v>46188</v>
      </c>
      <c r="J31" s="3">
        <v>46191</v>
      </c>
      <c r="K31" s="2" t="s">
        <v>72</v>
      </c>
      <c r="L31" s="2">
        <v>4</v>
      </c>
      <c r="M31" s="2" t="s">
        <v>246</v>
      </c>
      <c r="N31" s="2" t="s">
        <v>247</v>
      </c>
      <c r="O31" s="2" t="s">
        <v>86</v>
      </c>
      <c r="P31" s="2"/>
    </row>
    <row r="32" spans="1:16" ht="28.8" x14ac:dyDescent="0.3">
      <c r="A32" s="2" t="s">
        <v>248</v>
      </c>
      <c r="B32" s="2" t="s">
        <v>53</v>
      </c>
      <c r="C32" s="2" t="s">
        <v>88</v>
      </c>
      <c r="D32" s="2" t="s">
        <v>249</v>
      </c>
      <c r="E32" s="2" t="s">
        <v>250</v>
      </c>
      <c r="F32" s="2" t="s">
        <v>251</v>
      </c>
      <c r="G32" s="2" t="s">
        <v>53</v>
      </c>
      <c r="H32" s="2" t="s">
        <v>195</v>
      </c>
      <c r="I32" s="3">
        <v>46188</v>
      </c>
      <c r="J32" s="3">
        <v>46191</v>
      </c>
      <c r="K32" s="2" t="s">
        <v>87</v>
      </c>
      <c r="L32" s="2">
        <v>4</v>
      </c>
      <c r="M32" s="2" t="s">
        <v>252</v>
      </c>
      <c r="N32" s="2" t="s">
        <v>253</v>
      </c>
      <c r="O32" s="2" t="s">
        <v>254</v>
      </c>
      <c r="P32" s="2"/>
    </row>
    <row r="33" spans="1:16" ht="28.8" x14ac:dyDescent="0.3">
      <c r="A33" s="2" t="s">
        <v>255</v>
      </c>
      <c r="B33" s="2" t="s">
        <v>53</v>
      </c>
      <c r="C33" s="2" t="s">
        <v>49</v>
      </c>
      <c r="D33" s="2" t="s">
        <v>256</v>
      </c>
      <c r="E33" s="2" t="s">
        <v>257</v>
      </c>
      <c r="F33" s="2" t="s">
        <v>149</v>
      </c>
      <c r="G33" s="2" t="s">
        <v>53</v>
      </c>
      <c r="H33" s="2" t="s">
        <v>195</v>
      </c>
      <c r="I33" s="3">
        <v>46188</v>
      </c>
      <c r="J33" s="3">
        <v>46190</v>
      </c>
      <c r="K33" s="2" t="s">
        <v>146</v>
      </c>
      <c r="L33" s="2">
        <v>2</v>
      </c>
      <c r="M33" s="2" t="s">
        <v>258</v>
      </c>
      <c r="N33" s="2" t="s">
        <v>259</v>
      </c>
      <c r="O33" s="2" t="s">
        <v>63</v>
      </c>
      <c r="P33" s="2"/>
    </row>
    <row r="34" spans="1:16" ht="28.8" x14ac:dyDescent="0.3">
      <c r="A34" s="2" t="s">
        <v>260</v>
      </c>
      <c r="B34" s="2" t="s">
        <v>53</v>
      </c>
      <c r="C34" s="2" t="s">
        <v>49</v>
      </c>
      <c r="D34" s="2" t="s">
        <v>261</v>
      </c>
      <c r="E34" s="2" t="s">
        <v>262</v>
      </c>
      <c r="F34" s="2" t="s">
        <v>263</v>
      </c>
      <c r="G34" s="2" t="s">
        <v>53</v>
      </c>
      <c r="H34" s="2" t="s">
        <v>195</v>
      </c>
      <c r="I34" s="3">
        <v>46190</v>
      </c>
      <c r="J34" s="3">
        <v>46193</v>
      </c>
      <c r="K34" s="2" t="s">
        <v>255</v>
      </c>
      <c r="L34" s="2">
        <v>3</v>
      </c>
      <c r="M34" s="2" t="s">
        <v>264</v>
      </c>
      <c r="N34" s="2" t="s">
        <v>265</v>
      </c>
      <c r="O34" s="2" t="s">
        <v>266</v>
      </c>
      <c r="P34" s="2"/>
    </row>
    <row r="35" spans="1:16" ht="28.8" x14ac:dyDescent="0.3">
      <c r="A35" s="2" t="s">
        <v>267</v>
      </c>
      <c r="B35" s="2" t="s">
        <v>53</v>
      </c>
      <c r="C35" s="2" t="s">
        <v>49</v>
      </c>
      <c r="D35" s="2" t="s">
        <v>268</v>
      </c>
      <c r="E35" s="2" t="s">
        <v>269</v>
      </c>
      <c r="F35" s="2" t="s">
        <v>263</v>
      </c>
      <c r="G35" s="2" t="s">
        <v>53</v>
      </c>
      <c r="H35" s="2" t="s">
        <v>195</v>
      </c>
      <c r="I35" s="3">
        <v>46190</v>
      </c>
      <c r="J35" s="3">
        <v>46194</v>
      </c>
      <c r="K35" s="2" t="s">
        <v>255</v>
      </c>
      <c r="L35" s="2">
        <v>3</v>
      </c>
      <c r="M35" s="2" t="s">
        <v>270</v>
      </c>
      <c r="N35" s="2" t="s">
        <v>271</v>
      </c>
      <c r="O35" s="2" t="s">
        <v>272</v>
      </c>
      <c r="P35" s="2"/>
    </row>
    <row r="36" spans="1:16" ht="28.8" x14ac:dyDescent="0.3">
      <c r="A36" s="2" t="s">
        <v>273</v>
      </c>
      <c r="B36" s="2" t="s">
        <v>53</v>
      </c>
      <c r="C36" s="2" t="s">
        <v>88</v>
      </c>
      <c r="D36" s="2" t="s">
        <v>274</v>
      </c>
      <c r="E36" s="2" t="s">
        <v>275</v>
      </c>
      <c r="F36" s="2" t="s">
        <v>276</v>
      </c>
      <c r="G36" s="2" t="s">
        <v>53</v>
      </c>
      <c r="H36" s="2" t="s">
        <v>195</v>
      </c>
      <c r="I36" s="3">
        <v>46192</v>
      </c>
      <c r="J36" s="3">
        <v>46197</v>
      </c>
      <c r="K36" s="2" t="s">
        <v>248</v>
      </c>
      <c r="L36" s="2">
        <v>5</v>
      </c>
      <c r="M36" s="2" t="s">
        <v>277</v>
      </c>
      <c r="N36" s="2" t="s">
        <v>278</v>
      </c>
      <c r="O36" s="2" t="s">
        <v>86</v>
      </c>
      <c r="P36" s="2"/>
    </row>
    <row r="37" spans="1:16" ht="28.8" x14ac:dyDescent="0.3">
      <c r="A37" s="2" t="s">
        <v>279</v>
      </c>
      <c r="B37" s="2" t="s">
        <v>53</v>
      </c>
      <c r="C37" s="2" t="s">
        <v>80</v>
      </c>
      <c r="D37" s="2" t="s">
        <v>280</v>
      </c>
      <c r="E37" s="2" t="s">
        <v>281</v>
      </c>
      <c r="F37" s="2" t="s">
        <v>282</v>
      </c>
      <c r="G37" s="2" t="s">
        <v>53</v>
      </c>
      <c r="H37" s="2" t="s">
        <v>195</v>
      </c>
      <c r="I37" s="3">
        <v>46195</v>
      </c>
      <c r="J37" s="3">
        <v>46199</v>
      </c>
      <c r="K37" s="2" t="s">
        <v>273</v>
      </c>
      <c r="L37" s="2">
        <v>4</v>
      </c>
      <c r="M37" s="2" t="s">
        <v>283</v>
      </c>
      <c r="N37" s="2" t="s">
        <v>284</v>
      </c>
      <c r="O37" s="2" t="s">
        <v>86</v>
      </c>
      <c r="P37" s="2"/>
    </row>
    <row r="38" spans="1:16" ht="28.8" x14ac:dyDescent="0.3">
      <c r="A38" s="2" t="s">
        <v>285</v>
      </c>
      <c r="B38" s="2" t="s">
        <v>53</v>
      </c>
      <c r="C38" s="2" t="s">
        <v>102</v>
      </c>
      <c r="D38" s="2" t="s">
        <v>286</v>
      </c>
      <c r="E38" s="2" t="s">
        <v>287</v>
      </c>
      <c r="F38" s="2" t="s">
        <v>105</v>
      </c>
      <c r="G38" s="2" t="s">
        <v>53</v>
      </c>
      <c r="H38" s="2" t="s">
        <v>195</v>
      </c>
      <c r="I38" s="3">
        <v>46195</v>
      </c>
      <c r="J38" s="3">
        <v>46200</v>
      </c>
      <c r="K38" s="2" t="s">
        <v>288</v>
      </c>
      <c r="L38" s="2">
        <v>4</v>
      </c>
      <c r="M38" s="2" t="s">
        <v>289</v>
      </c>
      <c r="N38" s="2" t="s">
        <v>290</v>
      </c>
      <c r="O38" s="2" t="s">
        <v>86</v>
      </c>
      <c r="P38" s="2"/>
    </row>
    <row r="39" spans="1:16" ht="28.8" x14ac:dyDescent="0.3">
      <c r="A39" s="2" t="s">
        <v>291</v>
      </c>
      <c r="B39" s="2" t="s">
        <v>53</v>
      </c>
      <c r="C39" s="2" t="s">
        <v>235</v>
      </c>
      <c r="D39" s="2" t="s">
        <v>292</v>
      </c>
      <c r="E39" s="2" t="s">
        <v>293</v>
      </c>
      <c r="F39" s="2" t="s">
        <v>294</v>
      </c>
      <c r="G39" s="2" t="s">
        <v>53</v>
      </c>
      <c r="H39" s="2" t="s">
        <v>195</v>
      </c>
      <c r="I39" s="3">
        <v>46192</v>
      </c>
      <c r="J39" s="3">
        <v>46196</v>
      </c>
      <c r="K39" s="2" t="s">
        <v>228</v>
      </c>
      <c r="L39" s="2">
        <v>3</v>
      </c>
      <c r="M39" s="2" t="s">
        <v>295</v>
      </c>
      <c r="N39" s="2" t="s">
        <v>296</v>
      </c>
      <c r="O39" s="2" t="s">
        <v>63</v>
      </c>
      <c r="P39" s="2"/>
    </row>
    <row r="40" spans="1:16" ht="28.8" x14ac:dyDescent="0.3">
      <c r="A40" s="2" t="s">
        <v>297</v>
      </c>
      <c r="B40" s="2" t="s">
        <v>53</v>
      </c>
      <c r="C40" s="2" t="s">
        <v>235</v>
      </c>
      <c r="D40" s="2" t="s">
        <v>298</v>
      </c>
      <c r="E40" s="2" t="s">
        <v>299</v>
      </c>
      <c r="F40" s="2" t="s">
        <v>300</v>
      </c>
      <c r="G40" s="2" t="s">
        <v>53</v>
      </c>
      <c r="H40" s="2" t="s">
        <v>195</v>
      </c>
      <c r="I40" s="3">
        <v>46197</v>
      </c>
      <c r="J40" s="3">
        <v>46204</v>
      </c>
      <c r="K40" s="2" t="s">
        <v>301</v>
      </c>
      <c r="L40" s="2">
        <v>5</v>
      </c>
      <c r="M40" s="2" t="s">
        <v>302</v>
      </c>
      <c r="N40" s="2" t="s">
        <v>303</v>
      </c>
      <c r="O40" s="2" t="s">
        <v>71</v>
      </c>
      <c r="P40" s="2"/>
    </row>
    <row r="41" spans="1:16" ht="28.8" x14ac:dyDescent="0.3">
      <c r="A41" s="2" t="s">
        <v>304</v>
      </c>
      <c r="B41" s="2" t="s">
        <v>53</v>
      </c>
      <c r="C41" s="2" t="s">
        <v>88</v>
      </c>
      <c r="D41" s="2" t="s">
        <v>305</v>
      </c>
      <c r="E41" s="2" t="s">
        <v>306</v>
      </c>
      <c r="F41" s="2" t="s">
        <v>91</v>
      </c>
      <c r="G41" s="2" t="s">
        <v>53</v>
      </c>
      <c r="H41" s="2" t="s">
        <v>195</v>
      </c>
      <c r="I41" s="3">
        <v>46198</v>
      </c>
      <c r="J41" s="3">
        <v>46205</v>
      </c>
      <c r="K41" s="2" t="s">
        <v>307</v>
      </c>
      <c r="L41" s="2">
        <v>5</v>
      </c>
      <c r="M41" s="2" t="s">
        <v>308</v>
      </c>
      <c r="N41" s="2" t="s">
        <v>309</v>
      </c>
      <c r="O41" s="2" t="s">
        <v>266</v>
      </c>
      <c r="P41" s="2"/>
    </row>
    <row r="42" spans="1:16" ht="28.8" x14ac:dyDescent="0.3">
      <c r="A42" s="2" t="s">
        <v>310</v>
      </c>
      <c r="B42" s="2" t="s">
        <v>53</v>
      </c>
      <c r="C42" s="2" t="s">
        <v>88</v>
      </c>
      <c r="D42" s="2" t="s">
        <v>311</v>
      </c>
      <c r="E42" s="2" t="s">
        <v>312</v>
      </c>
      <c r="F42" s="2" t="s">
        <v>91</v>
      </c>
      <c r="G42" s="2" t="s">
        <v>53</v>
      </c>
      <c r="H42" s="2" t="s">
        <v>195</v>
      </c>
      <c r="I42" s="3">
        <v>46198</v>
      </c>
      <c r="J42" s="3">
        <v>46205</v>
      </c>
      <c r="K42" s="2" t="s">
        <v>313</v>
      </c>
      <c r="L42" s="2">
        <v>5</v>
      </c>
      <c r="M42" s="2" t="s">
        <v>314</v>
      </c>
      <c r="N42" s="2" t="s">
        <v>315</v>
      </c>
      <c r="O42" s="2" t="s">
        <v>316</v>
      </c>
      <c r="P42" s="2"/>
    </row>
    <row r="43" spans="1:16" ht="28.8" x14ac:dyDescent="0.3">
      <c r="A43" s="2" t="s">
        <v>317</v>
      </c>
      <c r="B43" s="2" t="s">
        <v>53</v>
      </c>
      <c r="C43" s="2" t="s">
        <v>88</v>
      </c>
      <c r="D43" s="2" t="s">
        <v>318</v>
      </c>
      <c r="E43" s="2" t="s">
        <v>319</v>
      </c>
      <c r="F43" s="2" t="s">
        <v>91</v>
      </c>
      <c r="G43" s="2" t="s">
        <v>53</v>
      </c>
      <c r="H43" s="2" t="s">
        <v>195</v>
      </c>
      <c r="I43" s="3">
        <v>46201</v>
      </c>
      <c r="J43" s="3">
        <v>46208</v>
      </c>
      <c r="K43" s="2" t="s">
        <v>320</v>
      </c>
      <c r="L43" s="2">
        <v>5</v>
      </c>
      <c r="M43" s="2" t="s">
        <v>321</v>
      </c>
      <c r="N43" s="2" t="s">
        <v>322</v>
      </c>
      <c r="O43" s="2" t="s">
        <v>323</v>
      </c>
      <c r="P43" s="2"/>
    </row>
    <row r="44" spans="1:16" ht="28.8" x14ac:dyDescent="0.3">
      <c r="A44" s="2" t="s">
        <v>324</v>
      </c>
      <c r="B44" s="2" t="s">
        <v>53</v>
      </c>
      <c r="C44" s="2" t="s">
        <v>325</v>
      </c>
      <c r="D44" s="2" t="s">
        <v>326</v>
      </c>
      <c r="E44" s="2" t="s">
        <v>327</v>
      </c>
      <c r="F44" s="2" t="s">
        <v>328</v>
      </c>
      <c r="G44" s="2" t="s">
        <v>53</v>
      </c>
      <c r="H44" s="2" t="s">
        <v>195</v>
      </c>
      <c r="I44" s="3">
        <v>46201</v>
      </c>
      <c r="J44" s="3">
        <v>46207</v>
      </c>
      <c r="K44" s="2" t="s">
        <v>329</v>
      </c>
      <c r="L44" s="2">
        <v>4</v>
      </c>
      <c r="M44" s="2" t="s">
        <v>330</v>
      </c>
      <c r="N44" s="2" t="s">
        <v>331</v>
      </c>
      <c r="O44" s="2" t="s">
        <v>332</v>
      </c>
      <c r="P44" s="2"/>
    </row>
    <row r="45" spans="1:16" ht="28.8" x14ac:dyDescent="0.3">
      <c r="A45" s="2" t="s">
        <v>333</v>
      </c>
      <c r="B45" s="2" t="s">
        <v>53</v>
      </c>
      <c r="C45" s="2" t="s">
        <v>65</v>
      </c>
      <c r="D45" s="2" t="s">
        <v>334</v>
      </c>
      <c r="E45" s="2" t="s">
        <v>335</v>
      </c>
      <c r="F45" s="2" t="s">
        <v>68</v>
      </c>
      <c r="G45" s="2" t="s">
        <v>53</v>
      </c>
      <c r="H45" s="2" t="s">
        <v>195</v>
      </c>
      <c r="I45" s="3">
        <v>46204</v>
      </c>
      <c r="J45" s="3">
        <v>46215</v>
      </c>
      <c r="K45" s="2" t="s">
        <v>336</v>
      </c>
      <c r="L45" s="2">
        <v>7</v>
      </c>
      <c r="M45" s="2" t="s">
        <v>337</v>
      </c>
      <c r="N45" s="2" t="s">
        <v>338</v>
      </c>
      <c r="O45" s="2" t="s">
        <v>63</v>
      </c>
      <c r="P45" s="2"/>
    </row>
    <row r="46" spans="1:16" ht="28.8" x14ac:dyDescent="0.3">
      <c r="A46" s="2" t="s">
        <v>339</v>
      </c>
      <c r="B46" s="2" t="s">
        <v>53</v>
      </c>
      <c r="C46" s="2" t="s">
        <v>65</v>
      </c>
      <c r="D46" s="2" t="s">
        <v>340</v>
      </c>
      <c r="E46" s="2" t="s">
        <v>341</v>
      </c>
      <c r="F46" s="2" t="s">
        <v>68</v>
      </c>
      <c r="G46" s="2" t="s">
        <v>53</v>
      </c>
      <c r="H46" s="2" t="s">
        <v>195</v>
      </c>
      <c r="I46" s="3">
        <v>46211</v>
      </c>
      <c r="J46" s="3">
        <v>46221</v>
      </c>
      <c r="K46" s="2" t="s">
        <v>342</v>
      </c>
      <c r="L46" s="2">
        <v>6</v>
      </c>
      <c r="M46" s="2" t="s">
        <v>343</v>
      </c>
      <c r="N46" s="2" t="s">
        <v>344</v>
      </c>
      <c r="O46" s="2" t="s">
        <v>316</v>
      </c>
      <c r="P46" s="2"/>
    </row>
    <row r="47" spans="1:16" ht="28.8" x14ac:dyDescent="0.3">
      <c r="A47" s="2" t="s">
        <v>345</v>
      </c>
      <c r="B47" s="2" t="s">
        <v>53</v>
      </c>
      <c r="C47" s="2" t="s">
        <v>325</v>
      </c>
      <c r="D47" s="2" t="s">
        <v>346</v>
      </c>
      <c r="E47" s="2" t="s">
        <v>347</v>
      </c>
      <c r="F47" s="2" t="s">
        <v>68</v>
      </c>
      <c r="G47" s="2" t="s">
        <v>53</v>
      </c>
      <c r="H47" s="2" t="s">
        <v>195</v>
      </c>
      <c r="I47" s="3">
        <v>46215</v>
      </c>
      <c r="J47" s="3">
        <v>46223</v>
      </c>
      <c r="K47" s="2" t="s">
        <v>348</v>
      </c>
      <c r="L47" s="2">
        <v>5</v>
      </c>
      <c r="M47" s="2" t="s">
        <v>349</v>
      </c>
      <c r="N47" s="2" t="s">
        <v>350</v>
      </c>
      <c r="O47" s="2" t="s">
        <v>351</v>
      </c>
      <c r="P47" s="2"/>
    </row>
    <row r="48" spans="1:16" ht="28.8" x14ac:dyDescent="0.3">
      <c r="A48" s="2" t="s">
        <v>352</v>
      </c>
      <c r="B48" s="2" t="s">
        <v>53</v>
      </c>
      <c r="C48" s="2" t="s">
        <v>65</v>
      </c>
      <c r="D48" s="2" t="s">
        <v>353</v>
      </c>
      <c r="E48" s="2" t="s">
        <v>354</v>
      </c>
      <c r="F48" s="2" t="s">
        <v>68</v>
      </c>
      <c r="G48" s="2" t="s">
        <v>53</v>
      </c>
      <c r="H48" s="2" t="s">
        <v>195</v>
      </c>
      <c r="I48" s="3">
        <v>46217</v>
      </c>
      <c r="J48" s="3">
        <v>46228</v>
      </c>
      <c r="K48" s="2" t="s">
        <v>355</v>
      </c>
      <c r="L48" s="2">
        <v>7</v>
      </c>
      <c r="M48" s="2" t="s">
        <v>356</v>
      </c>
      <c r="N48" s="2" t="s">
        <v>357</v>
      </c>
      <c r="O48" s="2" t="s">
        <v>86</v>
      </c>
      <c r="P48" s="2"/>
    </row>
    <row r="49" spans="1:16" ht="28.8" x14ac:dyDescent="0.3">
      <c r="A49" s="2" t="s">
        <v>358</v>
      </c>
      <c r="B49" s="2" t="s">
        <v>53</v>
      </c>
      <c r="C49" s="2" t="s">
        <v>65</v>
      </c>
      <c r="D49" s="2" t="s">
        <v>359</v>
      </c>
      <c r="E49" s="2" t="s">
        <v>360</v>
      </c>
      <c r="F49" s="2" t="s">
        <v>68</v>
      </c>
      <c r="G49" s="2" t="s">
        <v>53</v>
      </c>
      <c r="H49" s="2" t="s">
        <v>195</v>
      </c>
      <c r="I49" s="3">
        <v>46225</v>
      </c>
      <c r="J49" s="3">
        <v>46236</v>
      </c>
      <c r="K49" s="2" t="s">
        <v>361</v>
      </c>
      <c r="L49" s="2">
        <v>6</v>
      </c>
      <c r="M49" s="2" t="s">
        <v>362</v>
      </c>
      <c r="N49" s="2" t="s">
        <v>363</v>
      </c>
      <c r="O49" s="2" t="s">
        <v>323</v>
      </c>
      <c r="P49" s="2"/>
    </row>
    <row r="50" spans="1:16" ht="28.8" x14ac:dyDescent="0.3">
      <c r="A50" s="2" t="s">
        <v>364</v>
      </c>
      <c r="B50" s="2" t="s">
        <v>53</v>
      </c>
      <c r="C50" s="2" t="s">
        <v>65</v>
      </c>
      <c r="D50" s="2" t="s">
        <v>365</v>
      </c>
      <c r="E50" s="2" t="s">
        <v>366</v>
      </c>
      <c r="F50" s="2" t="s">
        <v>68</v>
      </c>
      <c r="G50" s="2" t="s">
        <v>53</v>
      </c>
      <c r="H50" s="2" t="s">
        <v>195</v>
      </c>
      <c r="I50" s="3">
        <v>46231</v>
      </c>
      <c r="J50" s="3">
        <v>46244</v>
      </c>
      <c r="K50" s="2" t="s">
        <v>367</v>
      </c>
      <c r="L50" s="2">
        <v>7</v>
      </c>
      <c r="M50" s="2" t="s">
        <v>368</v>
      </c>
      <c r="N50" s="2" t="s">
        <v>369</v>
      </c>
      <c r="O50" s="2" t="s">
        <v>370</v>
      </c>
      <c r="P50" s="2"/>
    </row>
    <row r="51" spans="1:16" ht="28.8" x14ac:dyDescent="0.3">
      <c r="A51" s="2" t="s">
        <v>371</v>
      </c>
      <c r="B51" s="2" t="s">
        <v>53</v>
      </c>
      <c r="C51" s="2" t="s">
        <v>65</v>
      </c>
      <c r="D51" s="2" t="s">
        <v>372</v>
      </c>
      <c r="E51" s="2" t="s">
        <v>373</v>
      </c>
      <c r="F51" s="2" t="s">
        <v>68</v>
      </c>
      <c r="G51" s="2" t="s">
        <v>53</v>
      </c>
      <c r="H51" s="2" t="s">
        <v>195</v>
      </c>
      <c r="I51" s="3">
        <v>46235</v>
      </c>
      <c r="J51" s="3">
        <v>46246</v>
      </c>
      <c r="K51" s="2" t="s">
        <v>374</v>
      </c>
      <c r="L51" s="2">
        <v>6</v>
      </c>
      <c r="M51" s="2" t="s">
        <v>375</v>
      </c>
      <c r="N51" s="2" t="s">
        <v>376</v>
      </c>
      <c r="O51" s="2" t="s">
        <v>377</v>
      </c>
      <c r="P51" s="2"/>
    </row>
    <row r="52" spans="1:16" ht="28.8" x14ac:dyDescent="0.3">
      <c r="A52" s="2" t="s">
        <v>378</v>
      </c>
      <c r="B52" s="2" t="s">
        <v>53</v>
      </c>
      <c r="C52" s="2" t="s">
        <v>80</v>
      </c>
      <c r="D52" s="2" t="s">
        <v>379</v>
      </c>
      <c r="E52" s="2" t="s">
        <v>380</v>
      </c>
      <c r="F52" s="2" t="s">
        <v>98</v>
      </c>
      <c r="G52" s="2" t="s">
        <v>53</v>
      </c>
      <c r="H52" s="2" t="s">
        <v>195</v>
      </c>
      <c r="I52" s="3">
        <v>46211</v>
      </c>
      <c r="J52" s="3">
        <v>46221</v>
      </c>
      <c r="K52" s="2" t="s">
        <v>381</v>
      </c>
      <c r="L52" s="2">
        <v>4</v>
      </c>
      <c r="M52" s="2" t="s">
        <v>382</v>
      </c>
      <c r="N52" s="2" t="s">
        <v>383</v>
      </c>
      <c r="O52" s="2" t="s">
        <v>86</v>
      </c>
      <c r="P52" s="2"/>
    </row>
    <row r="53" spans="1:16" ht="28.8" x14ac:dyDescent="0.3">
      <c r="A53" s="2" t="s">
        <v>384</v>
      </c>
      <c r="B53" s="2" t="s">
        <v>53</v>
      </c>
      <c r="C53" s="2" t="s">
        <v>140</v>
      </c>
      <c r="D53" s="2" t="s">
        <v>385</v>
      </c>
      <c r="E53" s="2" t="s">
        <v>386</v>
      </c>
      <c r="F53" s="2" t="s">
        <v>387</v>
      </c>
      <c r="G53" s="2" t="s">
        <v>53</v>
      </c>
      <c r="H53" s="2" t="s">
        <v>195</v>
      </c>
      <c r="I53" s="3">
        <v>46221</v>
      </c>
      <c r="J53" s="3">
        <v>46231</v>
      </c>
      <c r="K53" s="2" t="s">
        <v>388</v>
      </c>
      <c r="L53" s="2">
        <v>5</v>
      </c>
      <c r="M53" s="2" t="s">
        <v>389</v>
      </c>
      <c r="N53" s="2" t="s">
        <v>390</v>
      </c>
      <c r="O53" s="2" t="s">
        <v>391</v>
      </c>
      <c r="P53" s="2"/>
    </row>
    <row r="54" spans="1:16" ht="28.8" x14ac:dyDescent="0.3">
      <c r="A54" s="2" t="s">
        <v>392</v>
      </c>
      <c r="B54" s="2" t="s">
        <v>53</v>
      </c>
      <c r="C54" s="2" t="s">
        <v>102</v>
      </c>
      <c r="D54" s="2" t="s">
        <v>393</v>
      </c>
      <c r="E54" s="2" t="s">
        <v>394</v>
      </c>
      <c r="F54" s="2" t="s">
        <v>105</v>
      </c>
      <c r="G54" s="2" t="s">
        <v>53</v>
      </c>
      <c r="H54" s="2" t="s">
        <v>195</v>
      </c>
      <c r="I54" s="3">
        <v>46223</v>
      </c>
      <c r="J54" s="3">
        <v>46236</v>
      </c>
      <c r="K54" s="2" t="s">
        <v>395</v>
      </c>
      <c r="L54" s="2">
        <v>5</v>
      </c>
      <c r="M54" s="2" t="s">
        <v>396</v>
      </c>
      <c r="N54" s="2" t="s">
        <v>397</v>
      </c>
      <c r="O54" s="2" t="s">
        <v>86</v>
      </c>
      <c r="P54" s="2"/>
    </row>
    <row r="55" spans="1:16" ht="28.8" x14ac:dyDescent="0.3">
      <c r="A55" s="2" t="s">
        <v>398</v>
      </c>
      <c r="B55" s="2" t="s">
        <v>53</v>
      </c>
      <c r="C55" s="2" t="s">
        <v>80</v>
      </c>
      <c r="D55" s="2" t="s">
        <v>399</v>
      </c>
      <c r="E55" s="2" t="s">
        <v>400</v>
      </c>
      <c r="F55" s="2" t="s">
        <v>98</v>
      </c>
      <c r="G55" s="2" t="s">
        <v>53</v>
      </c>
      <c r="H55" s="2" t="s">
        <v>195</v>
      </c>
      <c r="I55" s="3">
        <v>46235</v>
      </c>
      <c r="J55" s="3">
        <v>46252</v>
      </c>
      <c r="K55" s="2" t="s">
        <v>401</v>
      </c>
      <c r="L55" s="2">
        <v>8</v>
      </c>
      <c r="M55" s="2" t="s">
        <v>402</v>
      </c>
      <c r="N55" s="2" t="s">
        <v>403</v>
      </c>
      <c r="O55" s="2" t="s">
        <v>86</v>
      </c>
      <c r="P55" s="2"/>
    </row>
    <row r="56" spans="1:16" ht="28.8" x14ac:dyDescent="0.3">
      <c r="A56" s="2" t="s">
        <v>404</v>
      </c>
      <c r="B56" s="2" t="s">
        <v>53</v>
      </c>
      <c r="C56" s="2" t="s">
        <v>80</v>
      </c>
      <c r="D56" s="2" t="s">
        <v>405</v>
      </c>
      <c r="E56" s="2" t="s">
        <v>406</v>
      </c>
      <c r="F56" s="2" t="s">
        <v>98</v>
      </c>
      <c r="G56" s="2" t="s">
        <v>53</v>
      </c>
      <c r="H56" s="2" t="s">
        <v>195</v>
      </c>
      <c r="I56" s="3">
        <v>46242</v>
      </c>
      <c r="J56" s="3">
        <v>46256</v>
      </c>
      <c r="K56" s="2" t="s">
        <v>398</v>
      </c>
      <c r="L56" s="2">
        <v>6</v>
      </c>
      <c r="M56" s="2" t="s">
        <v>407</v>
      </c>
      <c r="N56" s="2" t="s">
        <v>408</v>
      </c>
      <c r="O56" s="2" t="s">
        <v>86</v>
      </c>
      <c r="P56" s="2"/>
    </row>
    <row r="57" spans="1:16" x14ac:dyDescent="0.3">
      <c r="A57" s="2" t="s">
        <v>409</v>
      </c>
      <c r="B57" s="2" t="s">
        <v>53</v>
      </c>
      <c r="C57" s="2" t="s">
        <v>80</v>
      </c>
      <c r="D57" s="2" t="s">
        <v>410</v>
      </c>
      <c r="E57" s="2" t="s">
        <v>411</v>
      </c>
      <c r="F57" s="2" t="s">
        <v>282</v>
      </c>
      <c r="G57" s="2" t="s">
        <v>53</v>
      </c>
      <c r="H57" s="2" t="s">
        <v>195</v>
      </c>
      <c r="I57" s="3">
        <v>46249</v>
      </c>
      <c r="J57" s="3">
        <v>46264</v>
      </c>
      <c r="K57" s="2" t="s">
        <v>412</v>
      </c>
      <c r="L57" s="2">
        <v>7</v>
      </c>
      <c r="M57" s="2" t="s">
        <v>413</v>
      </c>
      <c r="N57" s="2" t="s">
        <v>414</v>
      </c>
      <c r="O57" s="2" t="s">
        <v>86</v>
      </c>
      <c r="P57" s="2"/>
    </row>
    <row r="58" spans="1:16" ht="28.8" x14ac:dyDescent="0.3">
      <c r="A58" s="2" t="s">
        <v>415</v>
      </c>
      <c r="B58" s="2" t="s">
        <v>53</v>
      </c>
      <c r="C58" s="2" t="s">
        <v>80</v>
      </c>
      <c r="D58" s="2" t="s">
        <v>416</v>
      </c>
      <c r="E58" s="2" t="s">
        <v>417</v>
      </c>
      <c r="F58" s="2" t="s">
        <v>83</v>
      </c>
      <c r="G58" s="2" t="s">
        <v>53</v>
      </c>
      <c r="H58" s="2" t="s">
        <v>195</v>
      </c>
      <c r="I58" s="3">
        <v>46249</v>
      </c>
      <c r="J58" s="3">
        <v>46265</v>
      </c>
      <c r="K58" s="2" t="s">
        <v>418</v>
      </c>
      <c r="L58" s="2">
        <v>4</v>
      </c>
      <c r="M58" s="2" t="s">
        <v>419</v>
      </c>
      <c r="N58" s="2" t="s">
        <v>420</v>
      </c>
      <c r="O58" s="2" t="s">
        <v>86</v>
      </c>
      <c r="P58" s="2"/>
    </row>
    <row r="59" spans="1:16" ht="28.8" x14ac:dyDescent="0.3">
      <c r="A59" s="2" t="s">
        <v>421</v>
      </c>
      <c r="B59" s="2" t="s">
        <v>53</v>
      </c>
      <c r="C59" s="2" t="s">
        <v>80</v>
      </c>
      <c r="D59" s="2" t="s">
        <v>422</v>
      </c>
      <c r="E59" s="2" t="s">
        <v>423</v>
      </c>
      <c r="F59" s="2" t="s">
        <v>424</v>
      </c>
      <c r="G59" s="2" t="s">
        <v>53</v>
      </c>
      <c r="H59" s="2" t="s">
        <v>195</v>
      </c>
      <c r="I59" s="3">
        <v>46256</v>
      </c>
      <c r="J59" s="3">
        <v>46269</v>
      </c>
      <c r="K59" s="2" t="s">
        <v>425</v>
      </c>
      <c r="L59" s="2">
        <v>5</v>
      </c>
      <c r="M59" s="2" t="s">
        <v>426</v>
      </c>
      <c r="N59" s="2" t="s">
        <v>427</v>
      </c>
      <c r="O59" s="2" t="s">
        <v>86</v>
      </c>
      <c r="P59" s="2"/>
    </row>
    <row r="60" spans="1:16" x14ac:dyDescent="0.3">
      <c r="A60" s="2" t="s">
        <v>428</v>
      </c>
      <c r="B60" s="2" t="s">
        <v>53</v>
      </c>
      <c r="C60" s="2" t="s">
        <v>102</v>
      </c>
      <c r="D60" s="2" t="s">
        <v>429</v>
      </c>
      <c r="E60" s="2" t="s">
        <v>430</v>
      </c>
      <c r="F60" s="2" t="s">
        <v>431</v>
      </c>
      <c r="G60" s="2" t="s">
        <v>53</v>
      </c>
      <c r="H60" s="2" t="s">
        <v>195</v>
      </c>
      <c r="I60" s="3">
        <v>46256</v>
      </c>
      <c r="J60" s="3">
        <v>46269</v>
      </c>
      <c r="K60" s="2" t="s">
        <v>392</v>
      </c>
      <c r="L60" s="2">
        <v>5</v>
      </c>
      <c r="M60" s="2" t="s">
        <v>432</v>
      </c>
      <c r="N60" s="2" t="s">
        <v>433</v>
      </c>
      <c r="O60" s="2" t="s">
        <v>86</v>
      </c>
      <c r="P60" s="2"/>
    </row>
    <row r="61" spans="1:16" x14ac:dyDescent="0.3">
      <c r="A61" s="2" t="s">
        <v>434</v>
      </c>
      <c r="B61" s="2" t="s">
        <v>53</v>
      </c>
      <c r="C61" s="2" t="s">
        <v>102</v>
      </c>
      <c r="D61" s="2" t="s">
        <v>435</v>
      </c>
      <c r="E61" s="2" t="s">
        <v>436</v>
      </c>
      <c r="F61" s="2" t="s">
        <v>105</v>
      </c>
      <c r="G61" s="2" t="s">
        <v>53</v>
      </c>
      <c r="H61" s="2" t="s">
        <v>195</v>
      </c>
      <c r="I61" s="3">
        <v>46256</v>
      </c>
      <c r="J61" s="3">
        <v>46269</v>
      </c>
      <c r="K61" s="2" t="s">
        <v>392</v>
      </c>
      <c r="L61" s="2">
        <v>4</v>
      </c>
      <c r="M61" s="2" t="s">
        <v>437</v>
      </c>
      <c r="N61" s="2" t="s">
        <v>438</v>
      </c>
      <c r="O61" s="2" t="s">
        <v>86</v>
      </c>
      <c r="P61" s="2"/>
    </row>
    <row r="62" spans="1:16" x14ac:dyDescent="0.3">
      <c r="A62" s="2" t="s">
        <v>439</v>
      </c>
      <c r="B62" s="2" t="s">
        <v>53</v>
      </c>
      <c r="C62" s="2" t="s">
        <v>140</v>
      </c>
      <c r="D62" s="2" t="s">
        <v>440</v>
      </c>
      <c r="E62" s="2" t="s">
        <v>441</v>
      </c>
      <c r="F62" s="2" t="s">
        <v>442</v>
      </c>
      <c r="G62" s="2" t="s">
        <v>53</v>
      </c>
      <c r="H62" s="2" t="s">
        <v>195</v>
      </c>
      <c r="I62" s="3">
        <v>46254</v>
      </c>
      <c r="J62" s="3">
        <v>46271</v>
      </c>
      <c r="K62" s="2" t="s">
        <v>443</v>
      </c>
      <c r="L62" s="2">
        <v>5</v>
      </c>
      <c r="M62" s="2" t="s">
        <v>444</v>
      </c>
      <c r="N62" s="2" t="s">
        <v>445</v>
      </c>
      <c r="O62" s="2" t="s">
        <v>71</v>
      </c>
      <c r="P62" s="2"/>
    </row>
    <row r="63" spans="1:16" ht="28.8" x14ac:dyDescent="0.3">
      <c r="A63" s="2" t="s">
        <v>446</v>
      </c>
      <c r="B63" s="2" t="s">
        <v>53</v>
      </c>
      <c r="C63" s="2" t="s">
        <v>140</v>
      </c>
      <c r="D63" s="2" t="s">
        <v>447</v>
      </c>
      <c r="E63" s="2" t="s">
        <v>448</v>
      </c>
      <c r="F63" s="2" t="s">
        <v>209</v>
      </c>
      <c r="G63" s="2" t="s">
        <v>53</v>
      </c>
      <c r="H63" s="2" t="s">
        <v>195</v>
      </c>
      <c r="I63" s="3">
        <v>46266</v>
      </c>
      <c r="J63" s="3">
        <v>46271</v>
      </c>
      <c r="K63" s="2" t="s">
        <v>449</v>
      </c>
      <c r="L63" s="2">
        <v>3</v>
      </c>
      <c r="M63" s="2" t="s">
        <v>450</v>
      </c>
      <c r="N63" s="2" t="s">
        <v>451</v>
      </c>
      <c r="O63" s="2" t="s">
        <v>86</v>
      </c>
      <c r="P63" s="2"/>
    </row>
    <row r="64" spans="1:16" x14ac:dyDescent="0.3">
      <c r="A64" s="2" t="s">
        <v>452</v>
      </c>
      <c r="B64" s="2" t="s">
        <v>117</v>
      </c>
      <c r="C64" s="2" t="s">
        <v>187</v>
      </c>
      <c r="D64" s="2" t="s">
        <v>453</v>
      </c>
      <c r="E64" s="2" t="s">
        <v>454</v>
      </c>
      <c r="F64" s="2" t="s">
        <v>455</v>
      </c>
      <c r="G64" s="2" t="s">
        <v>53</v>
      </c>
      <c r="H64" s="2" t="s">
        <v>195</v>
      </c>
      <c r="I64" s="3">
        <v>46272</v>
      </c>
      <c r="J64" s="3">
        <v>46279</v>
      </c>
      <c r="K64" s="2" t="s">
        <v>456</v>
      </c>
      <c r="L64" s="2">
        <v>3</v>
      </c>
      <c r="M64" s="2" t="s">
        <v>457</v>
      </c>
      <c r="N64" s="2" t="s">
        <v>458</v>
      </c>
      <c r="O64" s="2" t="s">
        <v>71</v>
      </c>
      <c r="P64" s="2"/>
    </row>
    <row r="65" spans="1:16" ht="28.8" x14ac:dyDescent="0.3">
      <c r="A65" s="2" t="s">
        <v>459</v>
      </c>
      <c r="B65" s="2" t="s">
        <v>117</v>
      </c>
      <c r="C65" s="2" t="s">
        <v>187</v>
      </c>
      <c r="D65" s="2" t="s">
        <v>460</v>
      </c>
      <c r="E65" s="2" t="s">
        <v>461</v>
      </c>
      <c r="F65" s="2" t="s">
        <v>455</v>
      </c>
      <c r="G65" s="2" t="s">
        <v>117</v>
      </c>
      <c r="H65" s="2" t="s">
        <v>195</v>
      </c>
      <c r="I65" s="3">
        <v>46275</v>
      </c>
      <c r="J65" s="3">
        <v>46283</v>
      </c>
      <c r="K65" s="2" t="s">
        <v>452</v>
      </c>
      <c r="L65" s="2">
        <v>3</v>
      </c>
      <c r="M65" s="2" t="s">
        <v>462</v>
      </c>
      <c r="N65" s="2" t="s">
        <v>463</v>
      </c>
      <c r="O65" s="2" t="s">
        <v>86</v>
      </c>
      <c r="P65" s="2"/>
    </row>
    <row r="66" spans="1:16" ht="28.8" x14ac:dyDescent="0.3">
      <c r="A66" s="2" t="s">
        <v>464</v>
      </c>
      <c r="B66" s="2" t="s">
        <v>117</v>
      </c>
      <c r="C66" s="2" t="s">
        <v>187</v>
      </c>
      <c r="D66" s="2" t="s">
        <v>465</v>
      </c>
      <c r="E66" s="2" t="s">
        <v>466</v>
      </c>
      <c r="F66" s="2" t="s">
        <v>455</v>
      </c>
      <c r="G66" s="2" t="s">
        <v>53</v>
      </c>
      <c r="H66" s="2" t="s">
        <v>195</v>
      </c>
      <c r="I66" s="3">
        <v>46280</v>
      </c>
      <c r="J66" s="3">
        <v>46289</v>
      </c>
      <c r="K66" s="2" t="s">
        <v>467</v>
      </c>
      <c r="L66" s="2">
        <v>3</v>
      </c>
      <c r="M66" s="2" t="s">
        <v>468</v>
      </c>
      <c r="N66" s="2" t="s">
        <v>469</v>
      </c>
      <c r="O66" s="2" t="s">
        <v>71</v>
      </c>
      <c r="P66" s="2"/>
    </row>
    <row r="67" spans="1:16" ht="28.8" x14ac:dyDescent="0.3">
      <c r="A67" s="2" t="s">
        <v>470</v>
      </c>
      <c r="B67" s="2" t="s">
        <v>117</v>
      </c>
      <c r="C67" s="2" t="s">
        <v>128</v>
      </c>
      <c r="D67" s="2" t="s">
        <v>471</v>
      </c>
      <c r="E67" s="2" t="s">
        <v>472</v>
      </c>
      <c r="F67" s="2" t="s">
        <v>473</v>
      </c>
      <c r="G67" s="2" t="s">
        <v>117</v>
      </c>
      <c r="H67" s="2" t="s">
        <v>195</v>
      </c>
      <c r="I67" s="3">
        <v>46280</v>
      </c>
      <c r="J67" s="3">
        <v>46305</v>
      </c>
      <c r="K67" s="2" t="s">
        <v>474</v>
      </c>
      <c r="L67" s="2">
        <v>8</v>
      </c>
      <c r="M67" s="2" t="s">
        <v>475</v>
      </c>
      <c r="N67" s="2" t="s">
        <v>476</v>
      </c>
      <c r="O67" s="2" t="s">
        <v>71</v>
      </c>
      <c r="P67" s="2"/>
    </row>
    <row r="68" spans="1:16" ht="28.8" x14ac:dyDescent="0.3">
      <c r="A68" s="2" t="s">
        <v>477</v>
      </c>
      <c r="B68" s="2" t="s">
        <v>117</v>
      </c>
      <c r="C68" s="2" t="s">
        <v>478</v>
      </c>
      <c r="D68" s="2" t="s">
        <v>479</v>
      </c>
      <c r="E68" s="2" t="s">
        <v>480</v>
      </c>
      <c r="F68" s="2" t="s">
        <v>481</v>
      </c>
      <c r="G68" s="2" t="s">
        <v>117</v>
      </c>
      <c r="H68" s="2" t="s">
        <v>195</v>
      </c>
      <c r="I68" s="3">
        <v>46287</v>
      </c>
      <c r="J68" s="3">
        <v>46310</v>
      </c>
      <c r="K68" s="2" t="s">
        <v>482</v>
      </c>
      <c r="L68" s="2">
        <v>6</v>
      </c>
      <c r="M68" s="2" t="s">
        <v>483</v>
      </c>
      <c r="N68" s="2" t="s">
        <v>484</v>
      </c>
      <c r="O68" s="2" t="s">
        <v>86</v>
      </c>
      <c r="P68" s="2"/>
    </row>
    <row r="69" spans="1:16" ht="28.8" x14ac:dyDescent="0.3">
      <c r="A69" s="2" t="s">
        <v>485</v>
      </c>
      <c r="B69" s="2" t="s">
        <v>53</v>
      </c>
      <c r="C69" s="2" t="s">
        <v>478</v>
      </c>
      <c r="D69" s="2" t="s">
        <v>486</v>
      </c>
      <c r="E69" s="2" t="s">
        <v>487</v>
      </c>
      <c r="F69" s="2" t="s">
        <v>488</v>
      </c>
      <c r="G69" s="2" t="s">
        <v>53</v>
      </c>
      <c r="H69" s="2" t="s">
        <v>195</v>
      </c>
      <c r="I69" s="3">
        <v>46211</v>
      </c>
      <c r="J69" s="3">
        <v>46221</v>
      </c>
      <c r="K69" s="2" t="s">
        <v>489</v>
      </c>
      <c r="L69" s="2">
        <v>4</v>
      </c>
      <c r="M69" s="2" t="s">
        <v>490</v>
      </c>
      <c r="N69" s="2" t="s">
        <v>491</v>
      </c>
      <c r="O69" s="2" t="s">
        <v>86</v>
      </c>
      <c r="P69" s="2"/>
    </row>
    <row r="70" spans="1:16" ht="28.8" x14ac:dyDescent="0.3">
      <c r="A70" s="2" t="s">
        <v>492</v>
      </c>
      <c r="B70" s="2" t="s">
        <v>117</v>
      </c>
      <c r="C70" s="2" t="s">
        <v>478</v>
      </c>
      <c r="D70" s="2" t="s">
        <v>493</v>
      </c>
      <c r="E70" s="2" t="s">
        <v>494</v>
      </c>
      <c r="F70" s="2" t="s">
        <v>495</v>
      </c>
      <c r="G70" s="2" t="s">
        <v>117</v>
      </c>
      <c r="H70" s="2" t="s">
        <v>195</v>
      </c>
      <c r="I70" s="3">
        <v>46296</v>
      </c>
      <c r="J70" s="3">
        <v>46320</v>
      </c>
      <c r="K70" s="2" t="s">
        <v>496</v>
      </c>
      <c r="L70" s="2">
        <v>6</v>
      </c>
      <c r="M70" s="2" t="s">
        <v>497</v>
      </c>
      <c r="N70" s="2" t="s">
        <v>498</v>
      </c>
      <c r="O70" s="2" t="s">
        <v>86</v>
      </c>
      <c r="P70" s="2"/>
    </row>
    <row r="71" spans="1:16" ht="28.8" x14ac:dyDescent="0.3">
      <c r="A71" s="2" t="s">
        <v>499</v>
      </c>
      <c r="B71" s="2" t="s">
        <v>117</v>
      </c>
      <c r="C71" s="2" t="s">
        <v>65</v>
      </c>
      <c r="D71" s="2" t="s">
        <v>500</v>
      </c>
      <c r="E71" s="2" t="s">
        <v>501</v>
      </c>
      <c r="F71" s="2" t="s">
        <v>502</v>
      </c>
      <c r="G71" s="2" t="s">
        <v>117</v>
      </c>
      <c r="H71" s="2" t="s">
        <v>195</v>
      </c>
      <c r="I71" s="3">
        <v>46303</v>
      </c>
      <c r="J71" s="3">
        <v>46327</v>
      </c>
      <c r="K71" s="2" t="s">
        <v>503</v>
      </c>
      <c r="L71" s="2">
        <v>6</v>
      </c>
      <c r="M71" s="2" t="s">
        <v>504</v>
      </c>
      <c r="N71" s="2" t="s">
        <v>505</v>
      </c>
      <c r="O71" s="2" t="s">
        <v>506</v>
      </c>
      <c r="P71" s="2"/>
    </row>
    <row r="72" spans="1:16" ht="28.8" x14ac:dyDescent="0.3">
      <c r="A72" s="2" t="s">
        <v>507</v>
      </c>
      <c r="B72" s="2" t="s">
        <v>117</v>
      </c>
      <c r="C72" s="2" t="s">
        <v>65</v>
      </c>
      <c r="D72" s="2" t="s">
        <v>508</v>
      </c>
      <c r="E72" s="2" t="s">
        <v>509</v>
      </c>
      <c r="F72" s="2" t="s">
        <v>502</v>
      </c>
      <c r="G72" s="2" t="s">
        <v>117</v>
      </c>
      <c r="H72" s="2" t="s">
        <v>195</v>
      </c>
      <c r="I72" s="3">
        <v>46310</v>
      </c>
      <c r="J72" s="3">
        <v>46334</v>
      </c>
      <c r="K72" s="2" t="s">
        <v>510</v>
      </c>
      <c r="L72" s="2">
        <v>5</v>
      </c>
      <c r="M72" s="2" t="s">
        <v>511</v>
      </c>
      <c r="N72" s="2" t="s">
        <v>512</v>
      </c>
      <c r="O72" s="2" t="s">
        <v>506</v>
      </c>
      <c r="P72" s="2"/>
    </row>
    <row r="73" spans="1:16" x14ac:dyDescent="0.3">
      <c r="A73" s="2" t="s">
        <v>513</v>
      </c>
      <c r="B73" s="2" t="s">
        <v>117</v>
      </c>
      <c r="C73" s="2" t="s">
        <v>187</v>
      </c>
      <c r="D73" s="2" t="s">
        <v>514</v>
      </c>
      <c r="E73" s="2" t="s">
        <v>515</v>
      </c>
      <c r="F73" s="2" t="s">
        <v>455</v>
      </c>
      <c r="G73" s="2" t="s">
        <v>53</v>
      </c>
      <c r="H73" s="2" t="s">
        <v>195</v>
      </c>
      <c r="I73" s="3">
        <v>46327</v>
      </c>
      <c r="J73" s="3">
        <v>46369</v>
      </c>
      <c r="K73" s="2" t="s">
        <v>516</v>
      </c>
      <c r="L73" s="2">
        <v>8</v>
      </c>
      <c r="M73" s="2" t="s">
        <v>517</v>
      </c>
      <c r="N73" s="2" t="s">
        <v>518</v>
      </c>
      <c r="O73" s="2" t="s">
        <v>86</v>
      </c>
      <c r="P73" s="2"/>
    </row>
    <row r="74" spans="1:16" x14ac:dyDescent="0.3">
      <c r="A74" s="2" t="s">
        <v>519</v>
      </c>
      <c r="B74" s="2" t="s">
        <v>117</v>
      </c>
      <c r="C74" s="2" t="s">
        <v>187</v>
      </c>
      <c r="D74" s="2" t="s">
        <v>520</v>
      </c>
      <c r="E74" s="2" t="s">
        <v>521</v>
      </c>
      <c r="F74" s="2" t="s">
        <v>455</v>
      </c>
      <c r="G74" s="2" t="s">
        <v>117</v>
      </c>
      <c r="H74" s="2" t="s">
        <v>195</v>
      </c>
      <c r="I74" s="3">
        <v>46341</v>
      </c>
      <c r="J74" s="3">
        <v>46387</v>
      </c>
      <c r="K74" s="2" t="s">
        <v>522</v>
      </c>
      <c r="L74" s="2">
        <v>5</v>
      </c>
      <c r="M74" s="2" t="s">
        <v>523</v>
      </c>
      <c r="N74" s="2" t="s">
        <v>524</v>
      </c>
      <c r="O74" s="2" t="s">
        <v>525</v>
      </c>
      <c r="P74" s="2"/>
    </row>
    <row r="75" spans="1:16" ht="28.8" x14ac:dyDescent="0.3">
      <c r="A75" s="2" t="s">
        <v>526</v>
      </c>
      <c r="B75" s="2" t="s">
        <v>117</v>
      </c>
      <c r="C75" s="2" t="s">
        <v>102</v>
      </c>
      <c r="D75" s="2" t="s">
        <v>527</v>
      </c>
      <c r="E75" s="2" t="s">
        <v>528</v>
      </c>
      <c r="F75" s="2" t="s">
        <v>105</v>
      </c>
      <c r="G75" s="2" t="s">
        <v>117</v>
      </c>
      <c r="H75" s="2" t="s">
        <v>195</v>
      </c>
      <c r="I75" s="3">
        <v>46370</v>
      </c>
      <c r="J75" s="3">
        <v>46402</v>
      </c>
      <c r="K75" s="2" t="s">
        <v>529</v>
      </c>
      <c r="L75" s="2">
        <v>8</v>
      </c>
      <c r="M75" s="2" t="s">
        <v>530</v>
      </c>
      <c r="N75" s="2" t="s">
        <v>531</v>
      </c>
      <c r="O75" s="2" t="s">
        <v>86</v>
      </c>
      <c r="P75" s="2"/>
    </row>
    <row r="76" spans="1:16" x14ac:dyDescent="0.3">
      <c r="A76" s="2" t="s">
        <v>532</v>
      </c>
      <c r="B76" s="2" t="s">
        <v>117</v>
      </c>
      <c r="C76" s="2" t="s">
        <v>65</v>
      </c>
      <c r="D76" s="2" t="s">
        <v>533</v>
      </c>
      <c r="E76" s="2" t="s">
        <v>534</v>
      </c>
      <c r="F76" s="2" t="s">
        <v>502</v>
      </c>
      <c r="G76" s="2" t="s">
        <v>117</v>
      </c>
      <c r="H76" s="2" t="s">
        <v>195</v>
      </c>
      <c r="I76" s="3">
        <v>46388</v>
      </c>
      <c r="J76" s="3">
        <v>46418</v>
      </c>
      <c r="K76" s="2" t="s">
        <v>535</v>
      </c>
      <c r="L76" s="2">
        <v>8</v>
      </c>
      <c r="M76" s="2" t="s">
        <v>536</v>
      </c>
      <c r="N76" s="2" t="s">
        <v>537</v>
      </c>
      <c r="O76" s="2" t="s">
        <v>71</v>
      </c>
      <c r="P76" s="2"/>
    </row>
    <row r="77" spans="1:16" ht="28.8" x14ac:dyDescent="0.3">
      <c r="A77" s="2" t="s">
        <v>538</v>
      </c>
      <c r="B77" s="2" t="s">
        <v>117</v>
      </c>
      <c r="C77" s="2" t="s">
        <v>187</v>
      </c>
      <c r="D77" s="2" t="s">
        <v>539</v>
      </c>
      <c r="E77" s="2" t="s">
        <v>540</v>
      </c>
      <c r="F77" s="2" t="s">
        <v>541</v>
      </c>
      <c r="G77" s="2" t="s">
        <v>117</v>
      </c>
      <c r="H77" s="2" t="s">
        <v>195</v>
      </c>
      <c r="I77" s="3">
        <v>46402</v>
      </c>
      <c r="J77" s="3">
        <v>46428</v>
      </c>
      <c r="K77" s="2" t="s">
        <v>542</v>
      </c>
      <c r="L77" s="2">
        <v>5</v>
      </c>
      <c r="M77" s="2" t="s">
        <v>543</v>
      </c>
      <c r="N77" s="2" t="s">
        <v>544</v>
      </c>
      <c r="O77" s="2" t="s">
        <v>71</v>
      </c>
      <c r="P77" s="2"/>
    </row>
    <row r="78" spans="1:16" ht="28.8" x14ac:dyDescent="0.3">
      <c r="A78" s="2" t="s">
        <v>545</v>
      </c>
      <c r="B78" s="2" t="s">
        <v>117</v>
      </c>
      <c r="C78" s="2" t="s">
        <v>128</v>
      </c>
      <c r="D78" s="2" t="s">
        <v>546</v>
      </c>
      <c r="E78" s="2" t="s">
        <v>547</v>
      </c>
      <c r="F78" s="2" t="s">
        <v>548</v>
      </c>
      <c r="G78" s="2" t="s">
        <v>117</v>
      </c>
      <c r="H78" s="2" t="s">
        <v>195</v>
      </c>
      <c r="I78" s="3">
        <v>46407</v>
      </c>
      <c r="J78" s="3">
        <v>46433</v>
      </c>
      <c r="K78" s="2" t="s">
        <v>470</v>
      </c>
      <c r="L78" s="2">
        <v>4</v>
      </c>
      <c r="M78" s="2" t="s">
        <v>549</v>
      </c>
      <c r="N78" s="2" t="s">
        <v>550</v>
      </c>
      <c r="O78" s="2" t="s">
        <v>86</v>
      </c>
      <c r="P78" s="2"/>
    </row>
    <row r="79" spans="1:16" ht="28.8" x14ac:dyDescent="0.3">
      <c r="A79" s="2" t="s">
        <v>551</v>
      </c>
      <c r="B79" s="2" t="s">
        <v>117</v>
      </c>
      <c r="C79" s="2" t="s">
        <v>478</v>
      </c>
      <c r="D79" s="2" t="s">
        <v>552</v>
      </c>
      <c r="E79" s="2" t="s">
        <v>553</v>
      </c>
      <c r="F79" s="2" t="s">
        <v>488</v>
      </c>
      <c r="G79" s="2" t="s">
        <v>117</v>
      </c>
      <c r="H79" s="2" t="s">
        <v>195</v>
      </c>
      <c r="I79" s="3">
        <v>46419</v>
      </c>
      <c r="J79" s="3">
        <v>46446</v>
      </c>
      <c r="K79" s="2" t="s">
        <v>554</v>
      </c>
      <c r="L79" s="2">
        <v>6</v>
      </c>
      <c r="M79" s="2" t="s">
        <v>555</v>
      </c>
      <c r="N79" s="2" t="s">
        <v>556</v>
      </c>
      <c r="O79" s="2" t="s">
        <v>86</v>
      </c>
      <c r="P79" s="2"/>
    </row>
    <row r="80" spans="1:16" ht="28.8" x14ac:dyDescent="0.3">
      <c r="A80" s="2" t="s">
        <v>557</v>
      </c>
      <c r="B80" s="2" t="s">
        <v>117</v>
      </c>
      <c r="C80" s="2" t="s">
        <v>140</v>
      </c>
      <c r="D80" s="2" t="s">
        <v>558</v>
      </c>
      <c r="E80" s="2" t="s">
        <v>559</v>
      </c>
      <c r="F80" s="2" t="s">
        <v>209</v>
      </c>
      <c r="G80" s="2" t="s">
        <v>117</v>
      </c>
      <c r="H80" s="2" t="s">
        <v>195</v>
      </c>
      <c r="I80" s="3">
        <v>46433</v>
      </c>
      <c r="J80" s="3">
        <v>46453</v>
      </c>
      <c r="K80" s="2" t="s">
        <v>560</v>
      </c>
      <c r="L80" s="2">
        <v>5</v>
      </c>
      <c r="M80" s="2" t="s">
        <v>561</v>
      </c>
      <c r="N80" s="2" t="s">
        <v>562</v>
      </c>
      <c r="O80" s="2" t="s">
        <v>86</v>
      </c>
      <c r="P80" s="2"/>
    </row>
    <row r="81" spans="1:16" ht="28.8" x14ac:dyDescent="0.3">
      <c r="A81" s="2" t="s">
        <v>563</v>
      </c>
      <c r="B81" s="2" t="s">
        <v>117</v>
      </c>
      <c r="C81" s="2" t="s">
        <v>187</v>
      </c>
      <c r="D81" s="2" t="s">
        <v>564</v>
      </c>
      <c r="E81" s="2" t="s">
        <v>565</v>
      </c>
      <c r="F81" s="2" t="s">
        <v>455</v>
      </c>
      <c r="G81" s="2" t="s">
        <v>117</v>
      </c>
      <c r="H81" s="2" t="s">
        <v>195</v>
      </c>
      <c r="I81" s="3">
        <v>46447</v>
      </c>
      <c r="J81" s="3">
        <v>46460</v>
      </c>
      <c r="K81" s="2" t="s">
        <v>566</v>
      </c>
      <c r="L81" s="2">
        <v>6</v>
      </c>
      <c r="M81" s="2" t="s">
        <v>567</v>
      </c>
      <c r="N81" s="2" t="s">
        <v>568</v>
      </c>
      <c r="O81" s="2" t="s">
        <v>71</v>
      </c>
      <c r="P81" s="2"/>
    </row>
    <row r="82" spans="1:16" x14ac:dyDescent="0.3">
      <c r="A82" s="2" t="s">
        <v>569</v>
      </c>
      <c r="B82" s="2" t="s">
        <v>570</v>
      </c>
      <c r="C82" s="2" t="s">
        <v>65</v>
      </c>
      <c r="D82" s="2" t="s">
        <v>571</v>
      </c>
      <c r="E82" s="2" t="s">
        <v>572</v>
      </c>
      <c r="F82" s="2" t="s">
        <v>502</v>
      </c>
      <c r="G82" s="2" t="s">
        <v>570</v>
      </c>
      <c r="H82" s="2" t="s">
        <v>195</v>
      </c>
      <c r="I82" s="3">
        <v>46461</v>
      </c>
      <c r="J82" s="3">
        <v>46492</v>
      </c>
      <c r="K82" s="2" t="s">
        <v>563</v>
      </c>
      <c r="L82" s="2">
        <v>6</v>
      </c>
      <c r="M82" s="2" t="s">
        <v>573</v>
      </c>
      <c r="N82" s="2" t="s">
        <v>574</v>
      </c>
      <c r="O82" s="2" t="s">
        <v>575</v>
      </c>
      <c r="P82" s="2"/>
    </row>
    <row r="83" spans="1:16" x14ac:dyDescent="0.3">
      <c r="A83" s="2" t="s">
        <v>576</v>
      </c>
      <c r="B83" s="2" t="s">
        <v>570</v>
      </c>
      <c r="C83" s="2" t="s">
        <v>65</v>
      </c>
      <c r="D83" s="2" t="s">
        <v>577</v>
      </c>
      <c r="E83" s="2" t="s">
        <v>578</v>
      </c>
      <c r="F83" s="2" t="s">
        <v>502</v>
      </c>
      <c r="G83" s="2" t="s">
        <v>570</v>
      </c>
      <c r="H83" s="2" t="s">
        <v>195</v>
      </c>
      <c r="I83" s="3">
        <v>46478</v>
      </c>
      <c r="J83" s="3">
        <v>46508</v>
      </c>
      <c r="K83" s="2" t="s">
        <v>569</v>
      </c>
      <c r="L83" s="2">
        <v>6</v>
      </c>
      <c r="M83" s="2" t="s">
        <v>579</v>
      </c>
      <c r="N83" s="2" t="s">
        <v>580</v>
      </c>
      <c r="O83" s="2" t="s">
        <v>370</v>
      </c>
      <c r="P83" s="2"/>
    </row>
    <row r="84" spans="1:16" ht="28.8" x14ac:dyDescent="0.3">
      <c r="A84" s="2" t="s">
        <v>581</v>
      </c>
      <c r="B84" s="2" t="s">
        <v>570</v>
      </c>
      <c r="C84" s="2" t="s">
        <v>65</v>
      </c>
      <c r="D84" s="2" t="s">
        <v>582</v>
      </c>
      <c r="E84" s="2" t="s">
        <v>583</v>
      </c>
      <c r="F84" s="2" t="s">
        <v>75</v>
      </c>
      <c r="G84" s="2" t="s">
        <v>570</v>
      </c>
      <c r="H84" s="2" t="s">
        <v>195</v>
      </c>
      <c r="I84" s="3">
        <v>46508</v>
      </c>
      <c r="J84" s="3">
        <v>46553</v>
      </c>
      <c r="K84" s="2" t="s">
        <v>584</v>
      </c>
      <c r="L84" s="2">
        <v>6</v>
      </c>
      <c r="M84" s="2" t="s">
        <v>585</v>
      </c>
      <c r="N84" s="2" t="s">
        <v>586</v>
      </c>
      <c r="O84" s="2" t="s">
        <v>370</v>
      </c>
      <c r="P84" s="2"/>
    </row>
    <row r="85" spans="1:16" ht="28.8" x14ac:dyDescent="0.3">
      <c r="A85" s="2" t="s">
        <v>587</v>
      </c>
      <c r="B85" s="2" t="s">
        <v>570</v>
      </c>
      <c r="C85" s="2" t="s">
        <v>588</v>
      </c>
      <c r="D85" s="2" t="s">
        <v>589</v>
      </c>
      <c r="E85" s="2" t="s">
        <v>590</v>
      </c>
      <c r="F85" s="2" t="s">
        <v>591</v>
      </c>
      <c r="G85" s="2" t="s">
        <v>570</v>
      </c>
      <c r="H85" s="2" t="s">
        <v>195</v>
      </c>
      <c r="I85" s="3">
        <v>46492</v>
      </c>
      <c r="J85" s="3">
        <v>46538</v>
      </c>
      <c r="K85" s="2" t="s">
        <v>592</v>
      </c>
      <c r="L85" s="2">
        <v>6</v>
      </c>
      <c r="M85" s="2" t="s">
        <v>593</v>
      </c>
      <c r="N85" s="2" t="s">
        <v>594</v>
      </c>
      <c r="O85" s="2" t="s">
        <v>595</v>
      </c>
      <c r="P85" s="2"/>
    </row>
    <row r="86" spans="1:16" ht="28.8" x14ac:dyDescent="0.3">
      <c r="A86" s="2" t="s">
        <v>596</v>
      </c>
      <c r="B86" s="2" t="s">
        <v>570</v>
      </c>
      <c r="C86" s="2" t="s">
        <v>588</v>
      </c>
      <c r="D86" s="2" t="s">
        <v>597</v>
      </c>
      <c r="E86" s="2" t="s">
        <v>598</v>
      </c>
      <c r="F86" s="2" t="s">
        <v>591</v>
      </c>
      <c r="G86" s="2" t="s">
        <v>570</v>
      </c>
      <c r="H86" s="2" t="s">
        <v>195</v>
      </c>
      <c r="I86" s="3">
        <v>46522</v>
      </c>
      <c r="J86" s="3">
        <v>46569</v>
      </c>
      <c r="K86" s="2" t="s">
        <v>599</v>
      </c>
      <c r="L86" s="2">
        <v>6</v>
      </c>
      <c r="M86" s="2" t="s">
        <v>600</v>
      </c>
      <c r="N86" s="2" t="s">
        <v>601</v>
      </c>
      <c r="O86" s="2" t="s">
        <v>602</v>
      </c>
      <c r="P86" s="2"/>
    </row>
    <row r="87" spans="1:16" x14ac:dyDescent="0.3">
      <c r="A87" s="2" t="s">
        <v>603</v>
      </c>
      <c r="B87" s="2" t="s">
        <v>570</v>
      </c>
      <c r="C87" s="2" t="s">
        <v>478</v>
      </c>
      <c r="D87" s="2" t="s">
        <v>604</v>
      </c>
      <c r="E87" s="2" t="s">
        <v>605</v>
      </c>
      <c r="F87" s="2" t="s">
        <v>481</v>
      </c>
      <c r="G87" s="2" t="s">
        <v>570</v>
      </c>
      <c r="H87" s="2" t="s">
        <v>195</v>
      </c>
      <c r="I87" s="3">
        <v>46539</v>
      </c>
      <c r="J87" s="3">
        <v>46583</v>
      </c>
      <c r="K87" s="2" t="s">
        <v>606</v>
      </c>
      <c r="L87" s="2">
        <v>5</v>
      </c>
      <c r="M87" s="2" t="s">
        <v>607</v>
      </c>
      <c r="N87" s="2" t="s">
        <v>608</v>
      </c>
      <c r="O87" s="2" t="s">
        <v>86</v>
      </c>
      <c r="P87" s="2"/>
    </row>
    <row r="88" spans="1:16" ht="28.8" x14ac:dyDescent="0.3">
      <c r="A88" s="2" t="s">
        <v>609</v>
      </c>
      <c r="B88" s="2" t="s">
        <v>570</v>
      </c>
      <c r="C88" s="2" t="s">
        <v>478</v>
      </c>
      <c r="D88" s="2" t="s">
        <v>610</v>
      </c>
      <c r="E88" s="2" t="s">
        <v>611</v>
      </c>
      <c r="F88" s="2" t="s">
        <v>488</v>
      </c>
      <c r="G88" s="2" t="s">
        <v>570</v>
      </c>
      <c r="H88" s="2" t="s">
        <v>195</v>
      </c>
      <c r="I88" s="3">
        <v>46569</v>
      </c>
      <c r="J88" s="3">
        <v>46614</v>
      </c>
      <c r="K88" s="2" t="s">
        <v>612</v>
      </c>
      <c r="L88" s="2">
        <v>6</v>
      </c>
      <c r="M88" s="2" t="s">
        <v>613</v>
      </c>
      <c r="N88" s="2" t="s">
        <v>614</v>
      </c>
      <c r="O88" s="2" t="s">
        <v>86</v>
      </c>
      <c r="P88" s="2"/>
    </row>
    <row r="89" spans="1:16" ht="28.8" x14ac:dyDescent="0.3">
      <c r="A89" s="2" t="s">
        <v>615</v>
      </c>
      <c r="B89" s="2" t="s">
        <v>570</v>
      </c>
      <c r="C89" s="2" t="s">
        <v>49</v>
      </c>
      <c r="D89" s="2" t="s">
        <v>616</v>
      </c>
      <c r="E89" s="2" t="s">
        <v>617</v>
      </c>
      <c r="F89" s="2" t="s">
        <v>52</v>
      </c>
      <c r="G89" s="2" t="s">
        <v>117</v>
      </c>
      <c r="H89" s="2" t="s">
        <v>195</v>
      </c>
      <c r="I89" s="3">
        <v>46614</v>
      </c>
      <c r="J89" s="3">
        <v>46642</v>
      </c>
      <c r="K89" s="2" t="s">
        <v>618</v>
      </c>
      <c r="L89" s="2">
        <v>3</v>
      </c>
      <c r="M89" s="2" t="s">
        <v>619</v>
      </c>
      <c r="N89" s="2" t="s">
        <v>620</v>
      </c>
      <c r="O89" s="2" t="s">
        <v>86</v>
      </c>
      <c r="P89" s="2"/>
    </row>
    <row r="90" spans="1:16" ht="28.8" x14ac:dyDescent="0.3">
      <c r="A90" s="2" t="s">
        <v>621</v>
      </c>
      <c r="B90" s="2" t="s">
        <v>570</v>
      </c>
      <c r="C90" s="2" t="s">
        <v>588</v>
      </c>
      <c r="D90" s="2" t="s">
        <v>622</v>
      </c>
      <c r="E90" s="2" t="s">
        <v>623</v>
      </c>
      <c r="F90" s="2" t="s">
        <v>624</v>
      </c>
      <c r="G90" s="2" t="s">
        <v>570</v>
      </c>
      <c r="H90" s="2" t="s">
        <v>195</v>
      </c>
      <c r="I90" s="3">
        <v>46643</v>
      </c>
      <c r="J90" s="3">
        <v>46692</v>
      </c>
      <c r="K90" s="2" t="s">
        <v>625</v>
      </c>
      <c r="L90" s="2">
        <v>8</v>
      </c>
      <c r="M90" s="2" t="s">
        <v>626</v>
      </c>
      <c r="N90" s="2" t="s">
        <v>627</v>
      </c>
      <c r="O90" s="2" t="s">
        <v>370</v>
      </c>
      <c r="P90" s="2"/>
    </row>
    <row r="91" spans="1:16" ht="28.8" x14ac:dyDescent="0.3">
      <c r="A91" s="2" t="s">
        <v>628</v>
      </c>
      <c r="B91" s="2" t="s">
        <v>570</v>
      </c>
      <c r="C91" s="2" t="s">
        <v>80</v>
      </c>
      <c r="D91" s="2" t="s">
        <v>629</v>
      </c>
      <c r="E91" s="2" t="s">
        <v>630</v>
      </c>
      <c r="F91" s="2" t="s">
        <v>83</v>
      </c>
      <c r="G91" s="2" t="s">
        <v>570</v>
      </c>
      <c r="H91" s="2" t="s">
        <v>195</v>
      </c>
      <c r="I91" s="3">
        <v>46643</v>
      </c>
      <c r="J91" s="3">
        <v>46675</v>
      </c>
      <c r="K91" s="2" t="s">
        <v>621</v>
      </c>
      <c r="L91" s="2">
        <v>5</v>
      </c>
      <c r="M91" s="2" t="s">
        <v>631</v>
      </c>
      <c r="N91" s="2" t="s">
        <v>632</v>
      </c>
      <c r="O91" s="2" t="s">
        <v>370</v>
      </c>
      <c r="P91" s="2"/>
    </row>
    <row r="92" spans="1:16" ht="28.8" x14ac:dyDescent="0.3">
      <c r="A92" s="2" t="s">
        <v>633</v>
      </c>
      <c r="B92" s="2" t="s">
        <v>570</v>
      </c>
      <c r="C92" s="2" t="s">
        <v>588</v>
      </c>
      <c r="D92" s="2" t="s">
        <v>634</v>
      </c>
      <c r="E92" s="2" t="s">
        <v>635</v>
      </c>
      <c r="F92" s="2" t="s">
        <v>591</v>
      </c>
      <c r="G92" s="2" t="s">
        <v>570</v>
      </c>
      <c r="H92" s="2" t="s">
        <v>195</v>
      </c>
      <c r="I92" s="3">
        <v>46692</v>
      </c>
      <c r="J92" s="3">
        <v>46752</v>
      </c>
      <c r="K92" s="2" t="s">
        <v>636</v>
      </c>
      <c r="L92" s="2">
        <v>7</v>
      </c>
      <c r="M92" s="2" t="s">
        <v>637</v>
      </c>
      <c r="N92" s="2" t="s">
        <v>638</v>
      </c>
      <c r="O92" s="2" t="s">
        <v>370</v>
      </c>
      <c r="P92" s="2"/>
    </row>
    <row r="93" spans="1:16" ht="28.8" x14ac:dyDescent="0.3">
      <c r="A93" s="2" t="s">
        <v>639</v>
      </c>
      <c r="B93" s="2" t="s">
        <v>570</v>
      </c>
      <c r="C93" s="2" t="s">
        <v>588</v>
      </c>
      <c r="D93" s="2" t="s">
        <v>640</v>
      </c>
      <c r="E93" s="2" t="s">
        <v>641</v>
      </c>
      <c r="F93" s="2" t="s">
        <v>591</v>
      </c>
      <c r="G93" s="2" t="s">
        <v>570</v>
      </c>
      <c r="H93" s="2" t="s">
        <v>195</v>
      </c>
      <c r="I93" s="3">
        <v>46753</v>
      </c>
      <c r="J93" s="3">
        <v>46824</v>
      </c>
      <c r="K93" s="2" t="s">
        <v>633</v>
      </c>
      <c r="L93" s="2">
        <v>7</v>
      </c>
      <c r="M93" s="2" t="s">
        <v>642</v>
      </c>
      <c r="N93" s="2" t="s">
        <v>643</v>
      </c>
      <c r="O93" s="2" t="s">
        <v>644</v>
      </c>
      <c r="P93" s="2"/>
    </row>
    <row r="94" spans="1:16" ht="28.8" x14ac:dyDescent="0.3">
      <c r="A94" s="2" t="s">
        <v>645</v>
      </c>
      <c r="B94" s="2" t="s">
        <v>570</v>
      </c>
      <c r="C94" s="2" t="s">
        <v>33</v>
      </c>
      <c r="D94" s="2" t="s">
        <v>646</v>
      </c>
      <c r="E94" s="2" t="s">
        <v>647</v>
      </c>
      <c r="F94" s="2" t="s">
        <v>52</v>
      </c>
      <c r="G94" s="2" t="s">
        <v>570</v>
      </c>
      <c r="H94" s="2" t="s">
        <v>195</v>
      </c>
      <c r="I94" s="3">
        <v>46825</v>
      </c>
      <c r="J94" s="3">
        <v>46934</v>
      </c>
      <c r="K94" s="2" t="s">
        <v>639</v>
      </c>
      <c r="L94" s="2">
        <v>5</v>
      </c>
      <c r="M94" s="2" t="s">
        <v>648</v>
      </c>
      <c r="N94" s="2" t="s">
        <v>649</v>
      </c>
      <c r="O94" s="2" t="s">
        <v>650</v>
      </c>
      <c r="P94" s="2"/>
    </row>
    <row r="95" spans="1:16" ht="28.8" x14ac:dyDescent="0.3">
      <c r="A95" s="2" t="s">
        <v>651</v>
      </c>
      <c r="B95" s="2" t="s">
        <v>570</v>
      </c>
      <c r="C95" s="2" t="s">
        <v>33</v>
      </c>
      <c r="D95" s="2" t="s">
        <v>652</v>
      </c>
      <c r="E95" s="2" t="s">
        <v>653</v>
      </c>
      <c r="F95" s="2" t="s">
        <v>654</v>
      </c>
      <c r="G95" s="2" t="s">
        <v>570</v>
      </c>
      <c r="H95" s="2" t="s">
        <v>195</v>
      </c>
      <c r="I95" s="3">
        <v>46935</v>
      </c>
      <c r="J95" s="3">
        <v>47057</v>
      </c>
      <c r="K95" s="2" t="s">
        <v>655</v>
      </c>
      <c r="L95" s="2">
        <v>8</v>
      </c>
      <c r="M95" s="2" t="s">
        <v>656</v>
      </c>
      <c r="N95" s="2" t="s">
        <v>657</v>
      </c>
      <c r="O95" s="2" t="s">
        <v>650</v>
      </c>
      <c r="P95" s="2"/>
    </row>
    <row r="96" spans="1:16" ht="28.8" x14ac:dyDescent="0.3">
      <c r="A96" s="2" t="s">
        <v>658</v>
      </c>
      <c r="B96" s="2" t="s">
        <v>570</v>
      </c>
      <c r="C96" s="2" t="s">
        <v>33</v>
      </c>
      <c r="D96" s="2" t="s">
        <v>659</v>
      </c>
      <c r="E96" s="2" t="s">
        <v>660</v>
      </c>
      <c r="F96" s="2" t="s">
        <v>661</v>
      </c>
      <c r="G96" s="2" t="s">
        <v>570</v>
      </c>
      <c r="H96" s="2" t="s">
        <v>195</v>
      </c>
      <c r="I96" s="3">
        <v>47058</v>
      </c>
      <c r="J96" s="3">
        <v>47208</v>
      </c>
      <c r="K96" s="2" t="s">
        <v>662</v>
      </c>
      <c r="L96" s="2">
        <v>9</v>
      </c>
      <c r="M96" s="2" t="s">
        <v>663</v>
      </c>
      <c r="N96" s="2" t="s">
        <v>664</v>
      </c>
      <c r="O96" s="2" t="s">
        <v>650</v>
      </c>
      <c r="P96" s="2"/>
    </row>
    <row r="97" spans="1:16" x14ac:dyDescent="0.3">
      <c r="A97" s="2" t="s">
        <v>665</v>
      </c>
      <c r="B97" s="2" t="s">
        <v>570</v>
      </c>
      <c r="C97" s="2" t="s">
        <v>33</v>
      </c>
      <c r="D97" s="2" t="s">
        <v>666</v>
      </c>
      <c r="E97" s="2" t="s">
        <v>667</v>
      </c>
      <c r="F97" s="2" t="s">
        <v>668</v>
      </c>
      <c r="G97" s="2" t="s">
        <v>570</v>
      </c>
      <c r="H97" s="2" t="s">
        <v>195</v>
      </c>
      <c r="I97" s="3">
        <v>47209</v>
      </c>
      <c r="J97" s="3">
        <v>47299</v>
      </c>
      <c r="K97" s="2" t="s">
        <v>658</v>
      </c>
      <c r="L97" s="2">
        <v>8</v>
      </c>
      <c r="M97" s="2" t="s">
        <v>669</v>
      </c>
      <c r="N97" s="2" t="s">
        <v>670</v>
      </c>
      <c r="O97" s="2" t="s">
        <v>650</v>
      </c>
      <c r="P97" s="2"/>
    </row>
  </sheetData>
  <conditionalFormatting sqref="H2:H97">
    <cfRule type="expression" dxfId="2" priority="1">
      <formula>$H2="Blocked"</formula>
    </cfRule>
    <cfRule type="expression" dxfId="1" priority="2">
      <formula>$H2="In Progress"</formula>
    </cfRule>
    <cfRule type="expression" dxfId="0" priority="3">
      <formula>$H2="Done"</formula>
    </cfRule>
  </conditionalFormatting>
  <dataValidations count="2">
    <dataValidation type="list" showInputMessage="1" showErrorMessage="1" sqref="H2:H97" xr:uid="{00000000-0002-0000-0100-000000000000}">
      <formula1>"Done,In Progress,In Review,In QA,Blocked,Not Started,Deferred"</formula1>
    </dataValidation>
    <dataValidation type="list" showInputMessage="1" showErrorMessage="1" sqref="G2:G97" xr:uid="{00000000-0002-0000-0100-000001000000}">
      <formula1>"P0,P1,P2,P3"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"/>
  <sheetViews>
    <sheetView showGridLines="0" topLeftCell="B1" workbookViewId="0">
      <pane ySplit="1" topLeftCell="A2" activePane="bottomLeft" state="frozen"/>
      <selection pane="bottomLeft" activeCell="E3" sqref="E3"/>
    </sheetView>
  </sheetViews>
  <sheetFormatPr defaultRowHeight="14.4" x14ac:dyDescent="0.3"/>
  <cols>
    <col min="1" max="1" width="14" customWidth="1"/>
    <col min="2" max="2" width="10" customWidth="1"/>
    <col min="3" max="3" width="26" customWidth="1"/>
    <col min="4" max="4" width="34" customWidth="1"/>
    <col min="5" max="5" width="62" customWidth="1"/>
    <col min="6" max="6" width="21.5546875" bestFit="1" customWidth="1"/>
    <col min="7" max="7" width="10" customWidth="1"/>
    <col min="8" max="8" width="16" customWidth="1"/>
    <col min="9" max="10" width="13" customWidth="1"/>
    <col min="11" max="11" width="30" customWidth="1"/>
    <col min="12" max="12" width="10" customWidth="1"/>
    <col min="13" max="13" width="66" customWidth="1"/>
    <col min="14" max="14" width="50" customWidth="1"/>
    <col min="15" max="15" width="18" customWidth="1"/>
    <col min="16" max="16" width="34" customWidth="1"/>
  </cols>
  <sheetData>
    <row r="1" spans="1:16" x14ac:dyDescent="0.3">
      <c r="A1" s="1" t="s">
        <v>34</v>
      </c>
      <c r="B1" s="1" t="s">
        <v>21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22</v>
      </c>
      <c r="J1" s="1" t="s">
        <v>23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 ht="28.8" x14ac:dyDescent="0.3">
      <c r="A2" s="2" t="s">
        <v>47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3">
        <v>46174</v>
      </c>
      <c r="J2" s="3">
        <v>46179</v>
      </c>
      <c r="K2" s="2"/>
      <c r="L2" s="2">
        <v>3</v>
      </c>
      <c r="M2" s="2" t="s">
        <v>55</v>
      </c>
      <c r="N2" s="2" t="s">
        <v>56</v>
      </c>
      <c r="O2" s="2" t="s">
        <v>57</v>
      </c>
      <c r="P2" s="2"/>
    </row>
    <row r="3" spans="1:16" ht="28.8" x14ac:dyDescent="0.3">
      <c r="A3" s="2" t="s">
        <v>58</v>
      </c>
      <c r="B3" s="2" t="s">
        <v>48</v>
      </c>
      <c r="C3" s="2" t="s">
        <v>49</v>
      </c>
      <c r="D3" s="2" t="s">
        <v>59</v>
      </c>
      <c r="E3" s="2" t="s">
        <v>60</v>
      </c>
      <c r="F3" s="2" t="s">
        <v>52</v>
      </c>
      <c r="G3" s="2" t="s">
        <v>53</v>
      </c>
      <c r="H3" s="2" t="s">
        <v>54</v>
      </c>
      <c r="I3" s="3">
        <v>46178</v>
      </c>
      <c r="J3" s="3">
        <v>46179</v>
      </c>
      <c r="K3" s="2" t="s">
        <v>47</v>
      </c>
      <c r="L3" s="2">
        <v>3</v>
      </c>
      <c r="M3" s="2" t="s">
        <v>61</v>
      </c>
      <c r="N3" s="2" t="s">
        <v>62</v>
      </c>
      <c r="O3" s="2" t="s">
        <v>63</v>
      </c>
      <c r="P3" s="2"/>
    </row>
    <row r="4" spans="1:16" ht="28.8" x14ac:dyDescent="0.3">
      <c r="A4" s="2" t="s">
        <v>64</v>
      </c>
      <c r="B4" s="2" t="s">
        <v>48</v>
      </c>
      <c r="C4" s="2" t="s">
        <v>65</v>
      </c>
      <c r="D4" s="2" t="s">
        <v>66</v>
      </c>
      <c r="E4" s="2" t="s">
        <v>67</v>
      </c>
      <c r="F4" s="2" t="s">
        <v>68</v>
      </c>
      <c r="G4" s="2" t="s">
        <v>53</v>
      </c>
      <c r="H4" s="2" t="s">
        <v>54</v>
      </c>
      <c r="I4" s="3">
        <v>46179</v>
      </c>
      <c r="J4" s="3">
        <v>46180</v>
      </c>
      <c r="K4" s="2" t="s">
        <v>58</v>
      </c>
      <c r="L4" s="2">
        <v>3</v>
      </c>
      <c r="M4" s="2" t="s">
        <v>69</v>
      </c>
      <c r="N4" s="2" t="s">
        <v>70</v>
      </c>
      <c r="O4" s="2" t="s">
        <v>71</v>
      </c>
      <c r="P4" s="2"/>
    </row>
    <row r="5" spans="1:16" ht="28.8" x14ac:dyDescent="0.3">
      <c r="A5" s="2" t="s">
        <v>72</v>
      </c>
      <c r="B5" s="2" t="s">
        <v>48</v>
      </c>
      <c r="C5" s="2" t="s">
        <v>65</v>
      </c>
      <c r="D5" s="2" t="s">
        <v>73</v>
      </c>
      <c r="E5" s="2" t="s">
        <v>74</v>
      </c>
      <c r="F5" s="2" t="s">
        <v>75</v>
      </c>
      <c r="G5" s="2" t="s">
        <v>53</v>
      </c>
      <c r="H5" s="2" t="s">
        <v>54</v>
      </c>
      <c r="I5" s="3">
        <v>46179</v>
      </c>
      <c r="J5" s="3">
        <v>46180</v>
      </c>
      <c r="K5" s="2" t="s">
        <v>64</v>
      </c>
      <c r="L5" s="2">
        <v>3</v>
      </c>
      <c r="M5" s="2" t="s">
        <v>76</v>
      </c>
      <c r="N5" s="2" t="s">
        <v>77</v>
      </c>
      <c r="O5" s="2" t="s">
        <v>78</v>
      </c>
      <c r="P5" s="2"/>
    </row>
    <row r="6" spans="1:16" ht="28.8" x14ac:dyDescent="0.3">
      <c r="A6" s="2" t="s">
        <v>79</v>
      </c>
      <c r="B6" s="2" t="s">
        <v>48</v>
      </c>
      <c r="C6" s="2" t="s">
        <v>80</v>
      </c>
      <c r="D6" s="2" t="s">
        <v>81</v>
      </c>
      <c r="E6" s="2" t="s">
        <v>82</v>
      </c>
      <c r="F6" s="2" t="s">
        <v>83</v>
      </c>
      <c r="G6" s="2" t="s">
        <v>53</v>
      </c>
      <c r="H6" s="2" t="s">
        <v>54</v>
      </c>
      <c r="I6" s="3">
        <v>46180</v>
      </c>
      <c r="J6" s="3">
        <v>46181</v>
      </c>
      <c r="K6" s="2" t="s">
        <v>72</v>
      </c>
      <c r="L6" s="2">
        <v>3</v>
      </c>
      <c r="M6" s="2" t="s">
        <v>84</v>
      </c>
      <c r="N6" s="2" t="s">
        <v>85</v>
      </c>
      <c r="O6" s="2" t="s">
        <v>86</v>
      </c>
      <c r="P6" s="2"/>
    </row>
    <row r="7" spans="1:16" ht="28.8" x14ac:dyDescent="0.3">
      <c r="A7" s="2" t="s">
        <v>87</v>
      </c>
      <c r="B7" s="2" t="s">
        <v>48</v>
      </c>
      <c r="C7" s="2" t="s">
        <v>88</v>
      </c>
      <c r="D7" s="2" t="s">
        <v>89</v>
      </c>
      <c r="E7" s="2" t="s">
        <v>90</v>
      </c>
      <c r="F7" s="2" t="s">
        <v>91</v>
      </c>
      <c r="G7" s="2" t="s">
        <v>53</v>
      </c>
      <c r="H7" s="2" t="s">
        <v>54</v>
      </c>
      <c r="I7" s="3">
        <v>46180</v>
      </c>
      <c r="J7" s="3">
        <v>46181</v>
      </c>
      <c r="K7" s="2" t="s">
        <v>72</v>
      </c>
      <c r="L7" s="2">
        <v>3</v>
      </c>
      <c r="M7" s="2" t="s">
        <v>92</v>
      </c>
      <c r="N7" s="2" t="s">
        <v>93</v>
      </c>
      <c r="O7" s="2" t="s">
        <v>94</v>
      </c>
      <c r="P7" s="2"/>
    </row>
    <row r="8" spans="1:16" ht="28.8" x14ac:dyDescent="0.3">
      <c r="A8" s="2" t="s">
        <v>95</v>
      </c>
      <c r="B8" s="2" t="s">
        <v>48</v>
      </c>
      <c r="C8" s="2" t="s">
        <v>80</v>
      </c>
      <c r="D8" s="2" t="s">
        <v>96</v>
      </c>
      <c r="E8" s="2" t="s">
        <v>97</v>
      </c>
      <c r="F8" s="2" t="s">
        <v>98</v>
      </c>
      <c r="G8" s="2" t="s">
        <v>53</v>
      </c>
      <c r="H8" s="2" t="s">
        <v>54</v>
      </c>
      <c r="I8" s="3">
        <v>46181</v>
      </c>
      <c r="J8" s="3">
        <v>46182</v>
      </c>
      <c r="K8" s="2" t="s">
        <v>79</v>
      </c>
      <c r="L8" s="2">
        <v>3</v>
      </c>
      <c r="M8" s="2" t="s">
        <v>99</v>
      </c>
      <c r="N8" s="2" t="s">
        <v>100</v>
      </c>
      <c r="O8" s="2" t="s">
        <v>86</v>
      </c>
      <c r="P8" s="2"/>
    </row>
    <row r="9" spans="1:16" ht="28.8" x14ac:dyDescent="0.3">
      <c r="A9" s="2" t="s">
        <v>101</v>
      </c>
      <c r="B9" s="2" t="s">
        <v>48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53</v>
      </c>
      <c r="H9" s="2" t="s">
        <v>54</v>
      </c>
      <c r="I9" s="3">
        <v>46182</v>
      </c>
      <c r="J9" s="3">
        <v>46183</v>
      </c>
      <c r="K9" s="2" t="s">
        <v>95</v>
      </c>
      <c r="L9" s="2">
        <v>3</v>
      </c>
      <c r="M9" s="2" t="s">
        <v>106</v>
      </c>
      <c r="N9" s="2" t="s">
        <v>107</v>
      </c>
      <c r="O9" s="2" t="s">
        <v>86</v>
      </c>
      <c r="P9" s="2"/>
    </row>
    <row r="10" spans="1:16" x14ac:dyDescent="0.3">
      <c r="A10" s="2" t="s">
        <v>108</v>
      </c>
      <c r="B10" s="2" t="s">
        <v>48</v>
      </c>
      <c r="C10" s="2" t="s">
        <v>102</v>
      </c>
      <c r="D10" s="2" t="s">
        <v>109</v>
      </c>
      <c r="E10" s="2" t="s">
        <v>110</v>
      </c>
      <c r="F10" s="2" t="s">
        <v>111</v>
      </c>
      <c r="G10" s="2" t="s">
        <v>53</v>
      </c>
      <c r="H10" s="2" t="s">
        <v>54</v>
      </c>
      <c r="I10" s="3">
        <v>46183</v>
      </c>
      <c r="J10" s="3">
        <v>46183</v>
      </c>
      <c r="K10" s="2" t="s">
        <v>101</v>
      </c>
      <c r="L10" s="2">
        <v>3</v>
      </c>
      <c r="M10" s="2" t="s">
        <v>112</v>
      </c>
      <c r="N10" s="2" t="s">
        <v>113</v>
      </c>
      <c r="O10" s="2" t="s">
        <v>86</v>
      </c>
      <c r="P10" s="2"/>
    </row>
    <row r="11" spans="1:16" ht="28.8" x14ac:dyDescent="0.3">
      <c r="A11" s="2" t="s">
        <v>114</v>
      </c>
      <c r="B11" s="2" t="s">
        <v>48</v>
      </c>
      <c r="C11" s="2" t="s">
        <v>102</v>
      </c>
      <c r="D11" s="2" t="s">
        <v>115</v>
      </c>
      <c r="E11" s="2" t="s">
        <v>116</v>
      </c>
      <c r="F11" s="2" t="s">
        <v>105</v>
      </c>
      <c r="G11" s="2" t="s">
        <v>117</v>
      </c>
      <c r="H11" s="2" t="s">
        <v>54</v>
      </c>
      <c r="I11" s="3">
        <v>46183</v>
      </c>
      <c r="J11" s="3">
        <v>46183</v>
      </c>
      <c r="K11" s="2" t="s">
        <v>108</v>
      </c>
      <c r="L11" s="2">
        <v>3</v>
      </c>
      <c r="M11" s="2" t="s">
        <v>118</v>
      </c>
      <c r="N11" s="2" t="s">
        <v>119</v>
      </c>
      <c r="O11" s="2" t="s">
        <v>63</v>
      </c>
      <c r="P11" s="2"/>
    </row>
    <row r="12" spans="1:16" ht="28.8" x14ac:dyDescent="0.3">
      <c r="A12" s="2" t="s">
        <v>120</v>
      </c>
      <c r="B12" s="2" t="s">
        <v>48</v>
      </c>
      <c r="C12" s="2" t="s">
        <v>121</v>
      </c>
      <c r="D12" s="2" t="s">
        <v>122</v>
      </c>
      <c r="E12" s="2" t="s">
        <v>123</v>
      </c>
      <c r="F12" s="2" t="s">
        <v>124</v>
      </c>
      <c r="G12" s="2" t="s">
        <v>53</v>
      </c>
      <c r="H12" s="2" t="s">
        <v>54</v>
      </c>
      <c r="I12" s="3">
        <v>46183</v>
      </c>
      <c r="J12" s="3">
        <v>46184</v>
      </c>
      <c r="K12" s="2" t="s">
        <v>101</v>
      </c>
      <c r="L12" s="2">
        <v>3</v>
      </c>
      <c r="M12" s="2" t="s">
        <v>125</v>
      </c>
      <c r="N12" s="2" t="s">
        <v>126</v>
      </c>
      <c r="O12" s="2" t="s">
        <v>86</v>
      </c>
      <c r="P12" s="2"/>
    </row>
    <row r="13" spans="1:16" x14ac:dyDescent="0.3">
      <c r="A13" s="2" t="s">
        <v>127</v>
      </c>
      <c r="B13" s="2" t="s">
        <v>48</v>
      </c>
      <c r="C13" s="2" t="s">
        <v>128</v>
      </c>
      <c r="D13" s="2" t="s">
        <v>129</v>
      </c>
      <c r="E13" s="2" t="s">
        <v>130</v>
      </c>
      <c r="F13" s="2" t="s">
        <v>131</v>
      </c>
      <c r="G13" s="2" t="s">
        <v>53</v>
      </c>
      <c r="H13" s="2" t="s">
        <v>54</v>
      </c>
      <c r="I13" s="3">
        <v>46184</v>
      </c>
      <c r="J13" s="3">
        <v>46184</v>
      </c>
      <c r="K13" s="2" t="s">
        <v>72</v>
      </c>
      <c r="L13" s="2">
        <v>3</v>
      </c>
      <c r="M13" s="2" t="s">
        <v>132</v>
      </c>
      <c r="N13" s="2" t="s">
        <v>133</v>
      </c>
      <c r="O13" s="2" t="s">
        <v>94</v>
      </c>
      <c r="P13" s="2"/>
    </row>
    <row r="14" spans="1:16" ht="28.8" x14ac:dyDescent="0.3">
      <c r="A14" s="2" t="s">
        <v>134</v>
      </c>
      <c r="B14" s="2" t="s">
        <v>48</v>
      </c>
      <c r="C14" s="2" t="s">
        <v>128</v>
      </c>
      <c r="D14" s="2" t="s">
        <v>135</v>
      </c>
      <c r="E14" s="2" t="s">
        <v>136</v>
      </c>
      <c r="F14" s="2" t="s">
        <v>131</v>
      </c>
      <c r="G14" s="2" t="s">
        <v>53</v>
      </c>
      <c r="H14" s="2" t="s">
        <v>54</v>
      </c>
      <c r="I14" s="3">
        <v>46184</v>
      </c>
      <c r="J14" s="3">
        <v>46184</v>
      </c>
      <c r="K14" s="2" t="s">
        <v>127</v>
      </c>
      <c r="L14" s="2">
        <v>3</v>
      </c>
      <c r="M14" s="2" t="s">
        <v>137</v>
      </c>
      <c r="N14" s="2" t="s">
        <v>138</v>
      </c>
      <c r="O14" s="2" t="s">
        <v>86</v>
      </c>
      <c r="P14" s="2"/>
    </row>
    <row r="15" spans="1:16" ht="28.8" x14ac:dyDescent="0.3">
      <c r="A15" s="2" t="s">
        <v>139</v>
      </c>
      <c r="B15" s="2" t="s">
        <v>48</v>
      </c>
      <c r="C15" s="2" t="s">
        <v>140</v>
      </c>
      <c r="D15" s="2" t="s">
        <v>141</v>
      </c>
      <c r="E15" s="2" t="s">
        <v>142</v>
      </c>
      <c r="F15" s="2" t="s">
        <v>143</v>
      </c>
      <c r="G15" s="2" t="s">
        <v>53</v>
      </c>
      <c r="H15" s="2" t="s">
        <v>54</v>
      </c>
      <c r="I15" s="3">
        <v>46184</v>
      </c>
      <c r="J15" s="3">
        <v>46185</v>
      </c>
      <c r="K15" s="2" t="s">
        <v>101</v>
      </c>
      <c r="L15" s="2">
        <v>3</v>
      </c>
      <c r="M15" s="2" t="s">
        <v>144</v>
      </c>
      <c r="N15" s="2" t="s">
        <v>145</v>
      </c>
      <c r="O15" s="2" t="s">
        <v>86</v>
      </c>
      <c r="P15" s="2"/>
    </row>
    <row r="16" spans="1:16" ht="28.8" x14ac:dyDescent="0.3">
      <c r="A16" s="2" t="s">
        <v>146</v>
      </c>
      <c r="B16" s="2" t="s">
        <v>48</v>
      </c>
      <c r="C16" s="2" t="s">
        <v>49</v>
      </c>
      <c r="D16" s="2" t="s">
        <v>147</v>
      </c>
      <c r="E16" s="2" t="s">
        <v>148</v>
      </c>
      <c r="F16" s="2" t="s">
        <v>149</v>
      </c>
      <c r="G16" s="2" t="s">
        <v>53</v>
      </c>
      <c r="H16" s="2" t="s">
        <v>54</v>
      </c>
      <c r="I16" s="3">
        <v>46185</v>
      </c>
      <c r="J16" s="3">
        <v>46185</v>
      </c>
      <c r="K16" s="2" t="s">
        <v>47</v>
      </c>
      <c r="L16" s="2">
        <v>3</v>
      </c>
      <c r="M16" s="2" t="s">
        <v>150</v>
      </c>
      <c r="N16" s="2" t="s">
        <v>151</v>
      </c>
      <c r="O16" s="2" t="s">
        <v>152</v>
      </c>
      <c r="P16" s="2"/>
    </row>
    <row r="17" spans="1:16" ht="28.8" x14ac:dyDescent="0.3">
      <c r="A17" s="2" t="s">
        <v>153</v>
      </c>
      <c r="B17" s="2" t="s">
        <v>48</v>
      </c>
      <c r="C17" s="2" t="s">
        <v>49</v>
      </c>
      <c r="D17" s="2" t="s">
        <v>154</v>
      </c>
      <c r="E17" s="2" t="s">
        <v>155</v>
      </c>
      <c r="F17" s="2" t="s">
        <v>149</v>
      </c>
      <c r="G17" s="2" t="s">
        <v>53</v>
      </c>
      <c r="H17" s="2" t="s">
        <v>54</v>
      </c>
      <c r="I17" s="3">
        <v>46185</v>
      </c>
      <c r="J17" s="3">
        <v>46186</v>
      </c>
      <c r="K17" s="2" t="s">
        <v>146</v>
      </c>
      <c r="L17" s="2">
        <v>3</v>
      </c>
      <c r="M17" s="2" t="s">
        <v>156</v>
      </c>
      <c r="N17" s="2" t="s">
        <v>157</v>
      </c>
      <c r="O17" s="2" t="s">
        <v>86</v>
      </c>
      <c r="P17" s="2"/>
    </row>
    <row r="18" spans="1:16" ht="28.8" x14ac:dyDescent="0.3">
      <c r="A18" s="2" t="s">
        <v>158</v>
      </c>
      <c r="B18" s="2" t="s">
        <v>48</v>
      </c>
      <c r="C18" s="2" t="s">
        <v>121</v>
      </c>
      <c r="D18" s="2" t="s">
        <v>159</v>
      </c>
      <c r="E18" s="2" t="s">
        <v>160</v>
      </c>
      <c r="F18" s="2" t="s">
        <v>161</v>
      </c>
      <c r="G18" s="2" t="s">
        <v>53</v>
      </c>
      <c r="H18" s="2" t="s">
        <v>54</v>
      </c>
      <c r="I18" s="3">
        <v>46186</v>
      </c>
      <c r="J18" s="3">
        <v>46186</v>
      </c>
      <c r="K18" s="2" t="s">
        <v>153</v>
      </c>
      <c r="L18" s="2">
        <v>3</v>
      </c>
      <c r="M18" s="2" t="s">
        <v>162</v>
      </c>
      <c r="N18" s="2" t="s">
        <v>163</v>
      </c>
      <c r="O18" s="2" t="s">
        <v>86</v>
      </c>
      <c r="P18" s="2"/>
    </row>
    <row r="19" spans="1:16" ht="28.8" x14ac:dyDescent="0.3">
      <c r="A19" s="2" t="s">
        <v>164</v>
      </c>
      <c r="B19" s="2" t="s">
        <v>48</v>
      </c>
      <c r="C19" s="2" t="s">
        <v>49</v>
      </c>
      <c r="D19" s="2" t="s">
        <v>165</v>
      </c>
      <c r="E19" s="2" t="s">
        <v>166</v>
      </c>
      <c r="F19" s="2" t="s">
        <v>52</v>
      </c>
      <c r="G19" s="2" t="s">
        <v>117</v>
      </c>
      <c r="H19" s="2" t="s">
        <v>54</v>
      </c>
      <c r="I19" s="3">
        <v>46186</v>
      </c>
      <c r="J19" s="3">
        <v>46186</v>
      </c>
      <c r="K19" s="2"/>
      <c r="L19" s="2">
        <v>3</v>
      </c>
      <c r="M19" s="2" t="s">
        <v>167</v>
      </c>
      <c r="N19" s="2" t="s">
        <v>168</v>
      </c>
      <c r="O19" s="2" t="s">
        <v>169</v>
      </c>
      <c r="P19" s="2"/>
    </row>
    <row r="20" spans="1:16" ht="28.8" x14ac:dyDescent="0.3">
      <c r="A20" s="2" t="s">
        <v>170</v>
      </c>
      <c r="B20" s="2" t="s">
        <v>48</v>
      </c>
      <c r="C20" s="2" t="s">
        <v>49</v>
      </c>
      <c r="D20" s="2" t="s">
        <v>171</v>
      </c>
      <c r="E20" s="2" t="s">
        <v>172</v>
      </c>
      <c r="F20" s="2" t="s">
        <v>149</v>
      </c>
      <c r="G20" s="2" t="s">
        <v>117</v>
      </c>
      <c r="H20" s="2" t="s">
        <v>54</v>
      </c>
      <c r="I20" s="3">
        <v>46186</v>
      </c>
      <c r="J20" s="3">
        <v>46186</v>
      </c>
      <c r="K20" s="2" t="s">
        <v>164</v>
      </c>
      <c r="L20" s="2">
        <v>3</v>
      </c>
      <c r="M20" s="2" t="s">
        <v>173</v>
      </c>
      <c r="N20" s="2" t="s">
        <v>174</v>
      </c>
      <c r="O20" s="2" t="s">
        <v>175</v>
      </c>
      <c r="P20" s="2"/>
    </row>
    <row r="21" spans="1:16" ht="28.8" x14ac:dyDescent="0.3">
      <c r="A21" s="2" t="s">
        <v>176</v>
      </c>
      <c r="B21" s="2" t="s">
        <v>48</v>
      </c>
      <c r="C21" s="2" t="s">
        <v>49</v>
      </c>
      <c r="D21" s="2" t="s">
        <v>177</v>
      </c>
      <c r="E21" s="2" t="s">
        <v>178</v>
      </c>
      <c r="F21" s="2" t="s">
        <v>149</v>
      </c>
      <c r="G21" s="2" t="s">
        <v>117</v>
      </c>
      <c r="H21" s="2" t="s">
        <v>54</v>
      </c>
      <c r="I21" s="3">
        <v>46186</v>
      </c>
      <c r="J21" s="3">
        <v>46186</v>
      </c>
      <c r="K21" s="2" t="s">
        <v>170</v>
      </c>
      <c r="L21" s="2">
        <v>3</v>
      </c>
      <c r="M21" s="2" t="s">
        <v>179</v>
      </c>
      <c r="N21" s="2" t="s">
        <v>180</v>
      </c>
      <c r="O21" s="2" t="s">
        <v>175</v>
      </c>
      <c r="P21" s="2"/>
    </row>
    <row r="22" spans="1:16" ht="28.8" x14ac:dyDescent="0.3">
      <c r="A22" s="2" t="s">
        <v>181</v>
      </c>
      <c r="B22" s="2" t="s">
        <v>48</v>
      </c>
      <c r="C22" s="2" t="s">
        <v>140</v>
      </c>
      <c r="D22" s="2" t="s">
        <v>182</v>
      </c>
      <c r="E22" s="2" t="s">
        <v>183</v>
      </c>
      <c r="F22" s="2" t="s">
        <v>111</v>
      </c>
      <c r="G22" s="2" t="s">
        <v>53</v>
      </c>
      <c r="H22" s="2" t="s">
        <v>54</v>
      </c>
      <c r="I22" s="3">
        <v>46183</v>
      </c>
      <c r="J22" s="3">
        <v>46186</v>
      </c>
      <c r="K22" s="2" t="s">
        <v>108</v>
      </c>
      <c r="L22" s="2">
        <v>3</v>
      </c>
      <c r="M22" s="2" t="s">
        <v>184</v>
      </c>
      <c r="N22" s="2" t="s">
        <v>185</v>
      </c>
      <c r="O22" s="2" t="s">
        <v>86</v>
      </c>
      <c r="P22" s="2"/>
    </row>
    <row r="23" spans="1:16" ht="28.8" x14ac:dyDescent="0.3">
      <c r="A23" s="2" t="s">
        <v>186</v>
      </c>
      <c r="B23" s="2" t="s">
        <v>48</v>
      </c>
      <c r="C23" s="2" t="s">
        <v>187</v>
      </c>
      <c r="D23" s="2" t="s">
        <v>188</v>
      </c>
      <c r="E23" s="2" t="s">
        <v>189</v>
      </c>
      <c r="F23" s="2" t="s">
        <v>105</v>
      </c>
      <c r="G23" s="2" t="s">
        <v>53</v>
      </c>
      <c r="H23" s="2" t="s">
        <v>54</v>
      </c>
      <c r="I23" s="3">
        <v>46183</v>
      </c>
      <c r="J23" s="3">
        <v>46186</v>
      </c>
      <c r="K23" s="2" t="s">
        <v>181</v>
      </c>
      <c r="L23" s="2">
        <v>3</v>
      </c>
      <c r="M23" s="2" t="s">
        <v>190</v>
      </c>
      <c r="N23" s="2" t="s">
        <v>191</v>
      </c>
      <c r="O23" s="2" t="s">
        <v>86</v>
      </c>
      <c r="P23" s="2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75"/>
  <sheetViews>
    <sheetView showGridLines="0" workbookViewId="0">
      <pane ySplit="1" topLeftCell="A72" activePane="bottomLeft" state="frozen"/>
      <selection pane="bottomLeft" activeCell="A76" sqref="A76"/>
    </sheetView>
  </sheetViews>
  <sheetFormatPr defaultRowHeight="14.4" x14ac:dyDescent="0.3"/>
  <cols>
    <col min="1" max="1" width="14" customWidth="1"/>
    <col min="2" max="2" width="10" customWidth="1"/>
    <col min="3" max="3" width="26" customWidth="1"/>
    <col min="4" max="4" width="34" customWidth="1"/>
    <col min="5" max="5" width="62" customWidth="1"/>
    <col min="6" max="6" width="22" customWidth="1"/>
    <col min="7" max="7" width="10" customWidth="1"/>
    <col min="8" max="8" width="16" customWidth="1"/>
    <col min="9" max="10" width="13" customWidth="1"/>
    <col min="11" max="11" width="30" customWidth="1"/>
    <col min="12" max="12" width="10" customWidth="1"/>
    <col min="13" max="13" width="66" customWidth="1"/>
    <col min="14" max="14" width="50" customWidth="1"/>
    <col min="15" max="15" width="18" customWidth="1"/>
    <col min="16" max="16" width="34" customWidth="1"/>
  </cols>
  <sheetData>
    <row r="1" spans="1:16" x14ac:dyDescent="0.3">
      <c r="A1" s="1" t="s">
        <v>34</v>
      </c>
      <c r="B1" s="1" t="s">
        <v>21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22</v>
      </c>
      <c r="J1" s="1" t="s">
        <v>23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 ht="28.8" x14ac:dyDescent="0.3">
      <c r="A2" s="2" t="s">
        <v>192</v>
      </c>
      <c r="B2" s="2" t="s">
        <v>53</v>
      </c>
      <c r="C2" s="2" t="s">
        <v>102</v>
      </c>
      <c r="D2" s="2" t="s">
        <v>193</v>
      </c>
      <c r="E2" s="2" t="s">
        <v>194</v>
      </c>
      <c r="F2" s="2" t="s">
        <v>105</v>
      </c>
      <c r="G2" s="2" t="s">
        <v>53</v>
      </c>
      <c r="H2" s="2" t="s">
        <v>195</v>
      </c>
      <c r="I2" s="3">
        <v>46188</v>
      </c>
      <c r="J2" s="3">
        <v>46190</v>
      </c>
      <c r="K2" s="2" t="s">
        <v>196</v>
      </c>
      <c r="L2" s="2">
        <v>4</v>
      </c>
      <c r="M2" s="2" t="s">
        <v>197</v>
      </c>
      <c r="N2" s="2" t="s">
        <v>198</v>
      </c>
      <c r="O2" s="2" t="s">
        <v>86</v>
      </c>
      <c r="P2" s="2"/>
    </row>
    <row r="3" spans="1:16" ht="28.8" x14ac:dyDescent="0.3">
      <c r="A3" s="2" t="s">
        <v>199</v>
      </c>
      <c r="B3" s="2" t="s">
        <v>53</v>
      </c>
      <c r="C3" s="2" t="s">
        <v>80</v>
      </c>
      <c r="D3" s="2" t="s">
        <v>200</v>
      </c>
      <c r="E3" s="2" t="s">
        <v>201</v>
      </c>
      <c r="F3" s="2" t="s">
        <v>202</v>
      </c>
      <c r="G3" s="2" t="s">
        <v>53</v>
      </c>
      <c r="H3" s="2" t="s">
        <v>195</v>
      </c>
      <c r="I3" s="3">
        <v>46190</v>
      </c>
      <c r="J3" s="3">
        <v>46191</v>
      </c>
      <c r="K3" s="2" t="s">
        <v>203</v>
      </c>
      <c r="L3" s="2">
        <v>2</v>
      </c>
      <c r="M3" s="2" t="s">
        <v>204</v>
      </c>
      <c r="N3" s="2" t="s">
        <v>205</v>
      </c>
      <c r="O3" s="2" t="s">
        <v>86</v>
      </c>
      <c r="P3" s="2"/>
    </row>
    <row r="4" spans="1:16" ht="28.8" x14ac:dyDescent="0.3">
      <c r="A4" s="2" t="s">
        <v>206</v>
      </c>
      <c r="B4" s="2" t="s">
        <v>53</v>
      </c>
      <c r="C4" s="2" t="s">
        <v>140</v>
      </c>
      <c r="D4" s="2" t="s">
        <v>207</v>
      </c>
      <c r="E4" s="2" t="s">
        <v>208</v>
      </c>
      <c r="F4" s="2" t="s">
        <v>209</v>
      </c>
      <c r="G4" s="2" t="s">
        <v>53</v>
      </c>
      <c r="H4" s="2" t="s">
        <v>195</v>
      </c>
      <c r="I4" s="3">
        <v>46191</v>
      </c>
      <c r="J4" s="3">
        <v>46193</v>
      </c>
      <c r="K4" s="2" t="s">
        <v>210</v>
      </c>
      <c r="L4" s="2">
        <v>3</v>
      </c>
      <c r="M4" s="2" t="s">
        <v>211</v>
      </c>
      <c r="N4" s="2" t="s">
        <v>212</v>
      </c>
      <c r="O4" s="2" t="s">
        <v>86</v>
      </c>
      <c r="P4" s="2"/>
    </row>
    <row r="5" spans="1:16" ht="28.8" x14ac:dyDescent="0.3">
      <c r="A5" s="2" t="s">
        <v>213</v>
      </c>
      <c r="B5" s="2" t="s">
        <v>53</v>
      </c>
      <c r="C5" s="2" t="s">
        <v>214</v>
      </c>
      <c r="D5" s="2" t="s">
        <v>215</v>
      </c>
      <c r="E5" s="2" t="s">
        <v>216</v>
      </c>
      <c r="F5" s="2" t="s">
        <v>217</v>
      </c>
      <c r="G5" s="2" t="s">
        <v>53</v>
      </c>
      <c r="H5" s="2" t="s">
        <v>195</v>
      </c>
      <c r="I5" s="3">
        <v>46191</v>
      </c>
      <c r="J5" s="3">
        <v>46197</v>
      </c>
      <c r="K5" s="2" t="s">
        <v>218</v>
      </c>
      <c r="L5" s="2">
        <v>3</v>
      </c>
      <c r="M5" s="2" t="s">
        <v>219</v>
      </c>
      <c r="N5" s="2" t="s">
        <v>220</v>
      </c>
      <c r="O5" s="2" t="s">
        <v>94</v>
      </c>
      <c r="P5" s="2"/>
    </row>
    <row r="6" spans="1:16" ht="28.8" x14ac:dyDescent="0.3">
      <c r="A6" s="2" t="s">
        <v>221</v>
      </c>
      <c r="B6" s="2" t="s">
        <v>53</v>
      </c>
      <c r="C6" s="2" t="s">
        <v>214</v>
      </c>
      <c r="D6" s="2" t="s">
        <v>222</v>
      </c>
      <c r="E6" s="2" t="s">
        <v>223</v>
      </c>
      <c r="F6" s="2" t="s">
        <v>224</v>
      </c>
      <c r="G6" s="2" t="s">
        <v>53</v>
      </c>
      <c r="H6" s="2" t="s">
        <v>195</v>
      </c>
      <c r="I6" s="3">
        <v>46193</v>
      </c>
      <c r="J6" s="3">
        <v>46201</v>
      </c>
      <c r="K6" s="2" t="s">
        <v>225</v>
      </c>
      <c r="L6" s="2">
        <v>3</v>
      </c>
      <c r="M6" s="2" t="s">
        <v>226</v>
      </c>
      <c r="N6" s="2" t="s">
        <v>227</v>
      </c>
      <c r="O6" s="2" t="s">
        <v>86</v>
      </c>
      <c r="P6" s="2"/>
    </row>
    <row r="7" spans="1:16" ht="28.8" x14ac:dyDescent="0.3">
      <c r="A7" s="2" t="s">
        <v>228</v>
      </c>
      <c r="B7" s="2" t="s">
        <v>53</v>
      </c>
      <c r="C7" s="2" t="s">
        <v>49</v>
      </c>
      <c r="D7" s="2" t="s">
        <v>229</v>
      </c>
      <c r="E7" s="2" t="s">
        <v>230</v>
      </c>
      <c r="F7" s="2" t="s">
        <v>231</v>
      </c>
      <c r="G7" s="2" t="s">
        <v>53</v>
      </c>
      <c r="H7" s="2" t="s">
        <v>195</v>
      </c>
      <c r="I7" s="3">
        <v>46193</v>
      </c>
      <c r="J7" s="3">
        <v>46195</v>
      </c>
      <c r="K7" s="2" t="s">
        <v>176</v>
      </c>
      <c r="L7" s="2">
        <v>2</v>
      </c>
      <c r="M7" s="2" t="s">
        <v>232</v>
      </c>
      <c r="N7" s="2" t="s">
        <v>233</v>
      </c>
      <c r="O7" s="2" t="s">
        <v>175</v>
      </c>
      <c r="P7" s="2"/>
    </row>
    <row r="8" spans="1:16" ht="28.8" x14ac:dyDescent="0.3">
      <c r="A8" s="2" t="s">
        <v>234</v>
      </c>
      <c r="B8" s="2" t="s">
        <v>53</v>
      </c>
      <c r="C8" s="2" t="s">
        <v>235</v>
      </c>
      <c r="D8" s="2" t="s">
        <v>236</v>
      </c>
      <c r="E8" s="2" t="s">
        <v>237</v>
      </c>
      <c r="F8" s="2" t="s">
        <v>238</v>
      </c>
      <c r="G8" s="2" t="s">
        <v>53</v>
      </c>
      <c r="H8" s="2" t="s">
        <v>195</v>
      </c>
      <c r="I8" s="3">
        <v>46195</v>
      </c>
      <c r="J8" s="3">
        <v>46200</v>
      </c>
      <c r="K8" s="2" t="s">
        <v>239</v>
      </c>
      <c r="L8" s="2">
        <v>4</v>
      </c>
      <c r="M8" s="2" t="s">
        <v>240</v>
      </c>
      <c r="N8" s="2" t="s">
        <v>241</v>
      </c>
      <c r="O8" s="2" t="s">
        <v>242</v>
      </c>
      <c r="P8" s="2"/>
    </row>
    <row r="9" spans="1:16" ht="28.8" x14ac:dyDescent="0.3">
      <c r="A9" s="2" t="s">
        <v>243</v>
      </c>
      <c r="B9" s="2" t="s">
        <v>53</v>
      </c>
      <c r="C9" s="2" t="s">
        <v>65</v>
      </c>
      <c r="D9" s="2" t="s">
        <v>244</v>
      </c>
      <c r="E9" s="2" t="s">
        <v>245</v>
      </c>
      <c r="F9" s="2" t="s">
        <v>68</v>
      </c>
      <c r="G9" s="2" t="s">
        <v>53</v>
      </c>
      <c r="H9" s="2" t="s">
        <v>195</v>
      </c>
      <c r="I9" s="3">
        <v>46188</v>
      </c>
      <c r="J9" s="3">
        <v>46191</v>
      </c>
      <c r="K9" s="2" t="s">
        <v>72</v>
      </c>
      <c r="L9" s="2">
        <v>4</v>
      </c>
      <c r="M9" s="2" t="s">
        <v>246</v>
      </c>
      <c r="N9" s="2" t="s">
        <v>247</v>
      </c>
      <c r="O9" s="2" t="s">
        <v>86</v>
      </c>
      <c r="P9" s="2"/>
    </row>
    <row r="10" spans="1:16" ht="28.8" x14ac:dyDescent="0.3">
      <c r="A10" s="2" t="s">
        <v>248</v>
      </c>
      <c r="B10" s="2" t="s">
        <v>53</v>
      </c>
      <c r="C10" s="2" t="s">
        <v>88</v>
      </c>
      <c r="D10" s="2" t="s">
        <v>249</v>
      </c>
      <c r="E10" s="2" t="s">
        <v>250</v>
      </c>
      <c r="F10" s="2" t="s">
        <v>251</v>
      </c>
      <c r="G10" s="2" t="s">
        <v>53</v>
      </c>
      <c r="H10" s="2" t="s">
        <v>195</v>
      </c>
      <c r="I10" s="3">
        <v>46188</v>
      </c>
      <c r="J10" s="3">
        <v>46191</v>
      </c>
      <c r="K10" s="2" t="s">
        <v>87</v>
      </c>
      <c r="L10" s="2">
        <v>4</v>
      </c>
      <c r="M10" s="2" t="s">
        <v>252</v>
      </c>
      <c r="N10" s="2" t="s">
        <v>253</v>
      </c>
      <c r="O10" s="2" t="s">
        <v>254</v>
      </c>
      <c r="P10" s="2"/>
    </row>
    <row r="11" spans="1:16" ht="28.8" x14ac:dyDescent="0.3">
      <c r="A11" s="2" t="s">
        <v>255</v>
      </c>
      <c r="B11" s="2" t="s">
        <v>53</v>
      </c>
      <c r="C11" s="2" t="s">
        <v>49</v>
      </c>
      <c r="D11" s="2" t="s">
        <v>256</v>
      </c>
      <c r="E11" s="2" t="s">
        <v>257</v>
      </c>
      <c r="F11" s="2" t="s">
        <v>149</v>
      </c>
      <c r="G11" s="2" t="s">
        <v>53</v>
      </c>
      <c r="H11" s="2" t="s">
        <v>195</v>
      </c>
      <c r="I11" s="3">
        <v>46188</v>
      </c>
      <c r="J11" s="3">
        <v>46190</v>
      </c>
      <c r="K11" s="2" t="s">
        <v>146</v>
      </c>
      <c r="L11" s="2">
        <v>2</v>
      </c>
      <c r="M11" s="2" t="s">
        <v>258</v>
      </c>
      <c r="N11" s="2" t="s">
        <v>259</v>
      </c>
      <c r="O11" s="2" t="s">
        <v>63</v>
      </c>
      <c r="P11" s="2"/>
    </row>
    <row r="12" spans="1:16" ht="28.8" x14ac:dyDescent="0.3">
      <c r="A12" s="2" t="s">
        <v>260</v>
      </c>
      <c r="B12" s="2" t="s">
        <v>53</v>
      </c>
      <c r="C12" s="2" t="s">
        <v>49</v>
      </c>
      <c r="D12" s="2" t="s">
        <v>261</v>
      </c>
      <c r="E12" s="2" t="s">
        <v>262</v>
      </c>
      <c r="F12" s="2" t="s">
        <v>263</v>
      </c>
      <c r="G12" s="2" t="s">
        <v>53</v>
      </c>
      <c r="H12" s="2" t="s">
        <v>195</v>
      </c>
      <c r="I12" s="3">
        <v>46190</v>
      </c>
      <c r="J12" s="3">
        <v>46193</v>
      </c>
      <c r="K12" s="2" t="s">
        <v>255</v>
      </c>
      <c r="L12" s="2">
        <v>3</v>
      </c>
      <c r="M12" s="2" t="s">
        <v>264</v>
      </c>
      <c r="N12" s="2" t="s">
        <v>265</v>
      </c>
      <c r="O12" s="2" t="s">
        <v>266</v>
      </c>
      <c r="P12" s="2"/>
    </row>
    <row r="13" spans="1:16" ht="28.8" x14ac:dyDescent="0.3">
      <c r="A13" s="2" t="s">
        <v>267</v>
      </c>
      <c r="B13" s="2" t="s">
        <v>53</v>
      </c>
      <c r="C13" s="2" t="s">
        <v>49</v>
      </c>
      <c r="D13" s="2" t="s">
        <v>268</v>
      </c>
      <c r="E13" s="2" t="s">
        <v>269</v>
      </c>
      <c r="F13" s="2" t="s">
        <v>263</v>
      </c>
      <c r="G13" s="2" t="s">
        <v>53</v>
      </c>
      <c r="H13" s="2" t="s">
        <v>195</v>
      </c>
      <c r="I13" s="3">
        <v>46190</v>
      </c>
      <c r="J13" s="3">
        <v>46194</v>
      </c>
      <c r="K13" s="2" t="s">
        <v>255</v>
      </c>
      <c r="L13" s="2">
        <v>3</v>
      </c>
      <c r="M13" s="2" t="s">
        <v>270</v>
      </c>
      <c r="N13" s="2" t="s">
        <v>271</v>
      </c>
      <c r="O13" s="2" t="s">
        <v>272</v>
      </c>
      <c r="P13" s="2"/>
    </row>
    <row r="14" spans="1:16" ht="28.8" x14ac:dyDescent="0.3">
      <c r="A14" s="2" t="s">
        <v>273</v>
      </c>
      <c r="B14" s="2" t="s">
        <v>53</v>
      </c>
      <c r="C14" s="2" t="s">
        <v>88</v>
      </c>
      <c r="D14" s="2" t="s">
        <v>274</v>
      </c>
      <c r="E14" s="2" t="s">
        <v>275</v>
      </c>
      <c r="F14" s="2" t="s">
        <v>276</v>
      </c>
      <c r="G14" s="2" t="s">
        <v>53</v>
      </c>
      <c r="H14" s="2" t="s">
        <v>195</v>
      </c>
      <c r="I14" s="3">
        <v>46192</v>
      </c>
      <c r="J14" s="3">
        <v>46197</v>
      </c>
      <c r="K14" s="2" t="s">
        <v>248</v>
      </c>
      <c r="L14" s="2">
        <v>5</v>
      </c>
      <c r="M14" s="2" t="s">
        <v>277</v>
      </c>
      <c r="N14" s="2" t="s">
        <v>278</v>
      </c>
      <c r="O14" s="2" t="s">
        <v>86</v>
      </c>
      <c r="P14" s="2"/>
    </row>
    <row r="15" spans="1:16" ht="28.8" x14ac:dyDescent="0.3">
      <c r="A15" s="2" t="s">
        <v>279</v>
      </c>
      <c r="B15" s="2" t="s">
        <v>53</v>
      </c>
      <c r="C15" s="2" t="s">
        <v>80</v>
      </c>
      <c r="D15" s="2" t="s">
        <v>280</v>
      </c>
      <c r="E15" s="2" t="s">
        <v>281</v>
      </c>
      <c r="F15" s="2" t="s">
        <v>282</v>
      </c>
      <c r="G15" s="2" t="s">
        <v>53</v>
      </c>
      <c r="H15" s="2" t="s">
        <v>195</v>
      </c>
      <c r="I15" s="3">
        <v>46195</v>
      </c>
      <c r="J15" s="3">
        <v>46199</v>
      </c>
      <c r="K15" s="2" t="s">
        <v>273</v>
      </c>
      <c r="L15" s="2">
        <v>4</v>
      </c>
      <c r="M15" s="2" t="s">
        <v>283</v>
      </c>
      <c r="N15" s="2" t="s">
        <v>284</v>
      </c>
      <c r="O15" s="2" t="s">
        <v>86</v>
      </c>
      <c r="P15" s="2"/>
    </row>
    <row r="16" spans="1:16" ht="28.8" x14ac:dyDescent="0.3">
      <c r="A16" s="2" t="s">
        <v>285</v>
      </c>
      <c r="B16" s="2" t="s">
        <v>53</v>
      </c>
      <c r="C16" s="2" t="s">
        <v>102</v>
      </c>
      <c r="D16" s="2" t="s">
        <v>286</v>
      </c>
      <c r="E16" s="2" t="s">
        <v>287</v>
      </c>
      <c r="F16" s="2" t="s">
        <v>105</v>
      </c>
      <c r="G16" s="2" t="s">
        <v>53</v>
      </c>
      <c r="H16" s="2" t="s">
        <v>195</v>
      </c>
      <c r="I16" s="3">
        <v>46195</v>
      </c>
      <c r="J16" s="3">
        <v>46200</v>
      </c>
      <c r="K16" s="2" t="s">
        <v>288</v>
      </c>
      <c r="L16" s="2">
        <v>4</v>
      </c>
      <c r="M16" s="2" t="s">
        <v>289</v>
      </c>
      <c r="N16" s="2" t="s">
        <v>290</v>
      </c>
      <c r="O16" s="2" t="s">
        <v>86</v>
      </c>
      <c r="P16" s="2"/>
    </row>
    <row r="17" spans="1:16" ht="28.8" x14ac:dyDescent="0.3">
      <c r="A17" s="2" t="s">
        <v>291</v>
      </c>
      <c r="B17" s="2" t="s">
        <v>53</v>
      </c>
      <c r="C17" s="2" t="s">
        <v>235</v>
      </c>
      <c r="D17" s="2" t="s">
        <v>292</v>
      </c>
      <c r="E17" s="2" t="s">
        <v>293</v>
      </c>
      <c r="F17" s="2" t="s">
        <v>294</v>
      </c>
      <c r="G17" s="2" t="s">
        <v>53</v>
      </c>
      <c r="H17" s="2" t="s">
        <v>195</v>
      </c>
      <c r="I17" s="3">
        <v>46192</v>
      </c>
      <c r="J17" s="3">
        <v>46196</v>
      </c>
      <c r="K17" s="2" t="s">
        <v>228</v>
      </c>
      <c r="L17" s="2">
        <v>3</v>
      </c>
      <c r="M17" s="2" t="s">
        <v>295</v>
      </c>
      <c r="N17" s="2" t="s">
        <v>296</v>
      </c>
      <c r="O17" s="2" t="s">
        <v>63</v>
      </c>
      <c r="P17" s="2"/>
    </row>
    <row r="18" spans="1:16" ht="28.8" x14ac:dyDescent="0.3">
      <c r="A18" s="2" t="s">
        <v>297</v>
      </c>
      <c r="B18" s="2" t="s">
        <v>53</v>
      </c>
      <c r="C18" s="2" t="s">
        <v>235</v>
      </c>
      <c r="D18" s="2" t="s">
        <v>298</v>
      </c>
      <c r="E18" s="2" t="s">
        <v>299</v>
      </c>
      <c r="F18" s="2" t="s">
        <v>300</v>
      </c>
      <c r="G18" s="2" t="s">
        <v>53</v>
      </c>
      <c r="H18" s="2" t="s">
        <v>195</v>
      </c>
      <c r="I18" s="3">
        <v>46197</v>
      </c>
      <c r="J18" s="3">
        <v>46204</v>
      </c>
      <c r="K18" s="2" t="s">
        <v>301</v>
      </c>
      <c r="L18" s="2">
        <v>5</v>
      </c>
      <c r="M18" s="2" t="s">
        <v>302</v>
      </c>
      <c r="N18" s="2" t="s">
        <v>303</v>
      </c>
      <c r="O18" s="2" t="s">
        <v>71</v>
      </c>
      <c r="P18" s="2"/>
    </row>
    <row r="19" spans="1:16" ht="28.8" x14ac:dyDescent="0.3">
      <c r="A19" s="2" t="s">
        <v>304</v>
      </c>
      <c r="B19" s="2" t="s">
        <v>53</v>
      </c>
      <c r="C19" s="2" t="s">
        <v>88</v>
      </c>
      <c r="D19" s="2" t="s">
        <v>305</v>
      </c>
      <c r="E19" s="2" t="s">
        <v>306</v>
      </c>
      <c r="F19" s="2" t="s">
        <v>91</v>
      </c>
      <c r="G19" s="2" t="s">
        <v>53</v>
      </c>
      <c r="H19" s="2" t="s">
        <v>195</v>
      </c>
      <c r="I19" s="3">
        <v>46198</v>
      </c>
      <c r="J19" s="3">
        <v>46205</v>
      </c>
      <c r="K19" s="2" t="s">
        <v>307</v>
      </c>
      <c r="L19" s="2">
        <v>5</v>
      </c>
      <c r="M19" s="2" t="s">
        <v>308</v>
      </c>
      <c r="N19" s="2" t="s">
        <v>309</v>
      </c>
      <c r="O19" s="2" t="s">
        <v>266</v>
      </c>
      <c r="P19" s="2"/>
    </row>
    <row r="20" spans="1:16" ht="28.8" x14ac:dyDescent="0.3">
      <c r="A20" s="2" t="s">
        <v>310</v>
      </c>
      <c r="B20" s="2" t="s">
        <v>53</v>
      </c>
      <c r="C20" s="2" t="s">
        <v>88</v>
      </c>
      <c r="D20" s="2" t="s">
        <v>311</v>
      </c>
      <c r="E20" s="2" t="s">
        <v>312</v>
      </c>
      <c r="F20" s="2" t="s">
        <v>91</v>
      </c>
      <c r="G20" s="2" t="s">
        <v>53</v>
      </c>
      <c r="H20" s="2" t="s">
        <v>195</v>
      </c>
      <c r="I20" s="3">
        <v>46198</v>
      </c>
      <c r="J20" s="3">
        <v>46205</v>
      </c>
      <c r="K20" s="2" t="s">
        <v>313</v>
      </c>
      <c r="L20" s="2">
        <v>5</v>
      </c>
      <c r="M20" s="2" t="s">
        <v>314</v>
      </c>
      <c r="N20" s="2" t="s">
        <v>315</v>
      </c>
      <c r="O20" s="2" t="s">
        <v>316</v>
      </c>
      <c r="P20" s="2"/>
    </row>
    <row r="21" spans="1:16" ht="28.8" x14ac:dyDescent="0.3">
      <c r="A21" s="2" t="s">
        <v>317</v>
      </c>
      <c r="B21" s="2" t="s">
        <v>53</v>
      </c>
      <c r="C21" s="2" t="s">
        <v>88</v>
      </c>
      <c r="D21" s="2" t="s">
        <v>318</v>
      </c>
      <c r="E21" s="2" t="s">
        <v>319</v>
      </c>
      <c r="F21" s="2" t="s">
        <v>91</v>
      </c>
      <c r="G21" s="2" t="s">
        <v>53</v>
      </c>
      <c r="H21" s="2" t="s">
        <v>195</v>
      </c>
      <c r="I21" s="3">
        <v>46201</v>
      </c>
      <c r="J21" s="3">
        <v>46208</v>
      </c>
      <c r="K21" s="2" t="s">
        <v>320</v>
      </c>
      <c r="L21" s="2">
        <v>5</v>
      </c>
      <c r="M21" s="2" t="s">
        <v>321</v>
      </c>
      <c r="N21" s="2" t="s">
        <v>322</v>
      </c>
      <c r="O21" s="2" t="s">
        <v>323</v>
      </c>
      <c r="P21" s="2"/>
    </row>
    <row r="22" spans="1:16" ht="28.8" x14ac:dyDescent="0.3">
      <c r="A22" s="2" t="s">
        <v>324</v>
      </c>
      <c r="B22" s="2" t="s">
        <v>53</v>
      </c>
      <c r="C22" s="2" t="s">
        <v>325</v>
      </c>
      <c r="D22" s="2" t="s">
        <v>326</v>
      </c>
      <c r="E22" s="2" t="s">
        <v>327</v>
      </c>
      <c r="F22" s="2" t="s">
        <v>328</v>
      </c>
      <c r="G22" s="2" t="s">
        <v>53</v>
      </c>
      <c r="H22" s="2" t="s">
        <v>195</v>
      </c>
      <c r="I22" s="3">
        <v>46201</v>
      </c>
      <c r="J22" s="3">
        <v>46207</v>
      </c>
      <c r="K22" s="2" t="s">
        <v>329</v>
      </c>
      <c r="L22" s="2">
        <v>4</v>
      </c>
      <c r="M22" s="2" t="s">
        <v>330</v>
      </c>
      <c r="N22" s="2" t="s">
        <v>331</v>
      </c>
      <c r="O22" s="2" t="s">
        <v>332</v>
      </c>
      <c r="P22" s="2"/>
    </row>
    <row r="23" spans="1:16" ht="28.8" x14ac:dyDescent="0.3">
      <c r="A23" s="2" t="s">
        <v>333</v>
      </c>
      <c r="B23" s="2" t="s">
        <v>53</v>
      </c>
      <c r="C23" s="2" t="s">
        <v>65</v>
      </c>
      <c r="D23" s="2" t="s">
        <v>334</v>
      </c>
      <c r="E23" s="2" t="s">
        <v>335</v>
      </c>
      <c r="F23" s="2" t="s">
        <v>68</v>
      </c>
      <c r="G23" s="2" t="s">
        <v>53</v>
      </c>
      <c r="H23" s="2" t="s">
        <v>195</v>
      </c>
      <c r="I23" s="3">
        <v>46204</v>
      </c>
      <c r="J23" s="3">
        <v>46215</v>
      </c>
      <c r="K23" s="2" t="s">
        <v>336</v>
      </c>
      <c r="L23" s="2">
        <v>7</v>
      </c>
      <c r="M23" s="2" t="s">
        <v>337</v>
      </c>
      <c r="N23" s="2" t="s">
        <v>338</v>
      </c>
      <c r="O23" s="2" t="s">
        <v>63</v>
      </c>
      <c r="P23" s="2"/>
    </row>
    <row r="24" spans="1:16" ht="28.8" x14ac:dyDescent="0.3">
      <c r="A24" s="2" t="s">
        <v>339</v>
      </c>
      <c r="B24" s="2" t="s">
        <v>53</v>
      </c>
      <c r="C24" s="2" t="s">
        <v>65</v>
      </c>
      <c r="D24" s="2" t="s">
        <v>340</v>
      </c>
      <c r="E24" s="2" t="s">
        <v>341</v>
      </c>
      <c r="F24" s="2" t="s">
        <v>68</v>
      </c>
      <c r="G24" s="2" t="s">
        <v>53</v>
      </c>
      <c r="H24" s="2" t="s">
        <v>195</v>
      </c>
      <c r="I24" s="3">
        <v>46211</v>
      </c>
      <c r="J24" s="3">
        <v>46221</v>
      </c>
      <c r="K24" s="2" t="s">
        <v>342</v>
      </c>
      <c r="L24" s="2">
        <v>6</v>
      </c>
      <c r="M24" s="2" t="s">
        <v>343</v>
      </c>
      <c r="N24" s="2" t="s">
        <v>344</v>
      </c>
      <c r="O24" s="2" t="s">
        <v>316</v>
      </c>
      <c r="P24" s="2"/>
    </row>
    <row r="25" spans="1:16" ht="28.8" x14ac:dyDescent="0.3">
      <c r="A25" s="2" t="s">
        <v>345</v>
      </c>
      <c r="B25" s="2" t="s">
        <v>53</v>
      </c>
      <c r="C25" s="2" t="s">
        <v>325</v>
      </c>
      <c r="D25" s="2" t="s">
        <v>346</v>
      </c>
      <c r="E25" s="2" t="s">
        <v>347</v>
      </c>
      <c r="F25" s="2" t="s">
        <v>68</v>
      </c>
      <c r="G25" s="2" t="s">
        <v>53</v>
      </c>
      <c r="H25" s="2" t="s">
        <v>195</v>
      </c>
      <c r="I25" s="3">
        <v>46215</v>
      </c>
      <c r="J25" s="3">
        <v>46223</v>
      </c>
      <c r="K25" s="2" t="s">
        <v>348</v>
      </c>
      <c r="L25" s="2">
        <v>5</v>
      </c>
      <c r="M25" s="2" t="s">
        <v>349</v>
      </c>
      <c r="N25" s="2" t="s">
        <v>350</v>
      </c>
      <c r="O25" s="2" t="s">
        <v>351</v>
      </c>
      <c r="P25" s="2"/>
    </row>
    <row r="26" spans="1:16" ht="28.8" x14ac:dyDescent="0.3">
      <c r="A26" s="2" t="s">
        <v>352</v>
      </c>
      <c r="B26" s="2" t="s">
        <v>53</v>
      </c>
      <c r="C26" s="2" t="s">
        <v>65</v>
      </c>
      <c r="D26" s="2" t="s">
        <v>353</v>
      </c>
      <c r="E26" s="2" t="s">
        <v>354</v>
      </c>
      <c r="F26" s="2" t="s">
        <v>68</v>
      </c>
      <c r="G26" s="2" t="s">
        <v>53</v>
      </c>
      <c r="H26" s="2" t="s">
        <v>195</v>
      </c>
      <c r="I26" s="3">
        <v>46217</v>
      </c>
      <c r="J26" s="3">
        <v>46228</v>
      </c>
      <c r="K26" s="2" t="s">
        <v>355</v>
      </c>
      <c r="L26" s="2">
        <v>7</v>
      </c>
      <c r="M26" s="2" t="s">
        <v>356</v>
      </c>
      <c r="N26" s="2" t="s">
        <v>357</v>
      </c>
      <c r="O26" s="2" t="s">
        <v>86</v>
      </c>
      <c r="P26" s="2"/>
    </row>
    <row r="27" spans="1:16" ht="28.8" x14ac:dyDescent="0.3">
      <c r="A27" s="2" t="s">
        <v>358</v>
      </c>
      <c r="B27" s="2" t="s">
        <v>53</v>
      </c>
      <c r="C27" s="2" t="s">
        <v>65</v>
      </c>
      <c r="D27" s="2" t="s">
        <v>359</v>
      </c>
      <c r="E27" s="2" t="s">
        <v>360</v>
      </c>
      <c r="F27" s="2" t="s">
        <v>68</v>
      </c>
      <c r="G27" s="2" t="s">
        <v>53</v>
      </c>
      <c r="H27" s="2" t="s">
        <v>195</v>
      </c>
      <c r="I27" s="3">
        <v>46225</v>
      </c>
      <c r="J27" s="3">
        <v>46236</v>
      </c>
      <c r="K27" s="2" t="s">
        <v>361</v>
      </c>
      <c r="L27" s="2">
        <v>6</v>
      </c>
      <c r="M27" s="2" t="s">
        <v>362</v>
      </c>
      <c r="N27" s="2" t="s">
        <v>363</v>
      </c>
      <c r="O27" s="2" t="s">
        <v>323</v>
      </c>
      <c r="P27" s="2"/>
    </row>
    <row r="28" spans="1:16" ht="28.8" x14ac:dyDescent="0.3">
      <c r="A28" s="2" t="s">
        <v>364</v>
      </c>
      <c r="B28" s="2" t="s">
        <v>53</v>
      </c>
      <c r="C28" s="2" t="s">
        <v>65</v>
      </c>
      <c r="D28" s="2" t="s">
        <v>365</v>
      </c>
      <c r="E28" s="2" t="s">
        <v>366</v>
      </c>
      <c r="F28" s="2" t="s">
        <v>68</v>
      </c>
      <c r="G28" s="2" t="s">
        <v>53</v>
      </c>
      <c r="H28" s="2" t="s">
        <v>195</v>
      </c>
      <c r="I28" s="3">
        <v>46231</v>
      </c>
      <c r="J28" s="3">
        <v>46244</v>
      </c>
      <c r="K28" s="2" t="s">
        <v>367</v>
      </c>
      <c r="L28" s="2">
        <v>7</v>
      </c>
      <c r="M28" s="2" t="s">
        <v>368</v>
      </c>
      <c r="N28" s="2" t="s">
        <v>369</v>
      </c>
      <c r="O28" s="2" t="s">
        <v>370</v>
      </c>
      <c r="P28" s="2"/>
    </row>
    <row r="29" spans="1:16" ht="28.8" x14ac:dyDescent="0.3">
      <c r="A29" s="2" t="s">
        <v>371</v>
      </c>
      <c r="B29" s="2" t="s">
        <v>53</v>
      </c>
      <c r="C29" s="2" t="s">
        <v>65</v>
      </c>
      <c r="D29" s="2" t="s">
        <v>372</v>
      </c>
      <c r="E29" s="2" t="s">
        <v>373</v>
      </c>
      <c r="F29" s="2" t="s">
        <v>68</v>
      </c>
      <c r="G29" s="2" t="s">
        <v>53</v>
      </c>
      <c r="H29" s="2" t="s">
        <v>195</v>
      </c>
      <c r="I29" s="3">
        <v>46235</v>
      </c>
      <c r="J29" s="3">
        <v>46246</v>
      </c>
      <c r="K29" s="2" t="s">
        <v>374</v>
      </c>
      <c r="L29" s="2">
        <v>6</v>
      </c>
      <c r="M29" s="2" t="s">
        <v>375</v>
      </c>
      <c r="N29" s="2" t="s">
        <v>376</v>
      </c>
      <c r="O29" s="2" t="s">
        <v>377</v>
      </c>
      <c r="P29" s="2"/>
    </row>
    <row r="30" spans="1:16" ht="28.8" x14ac:dyDescent="0.3">
      <c r="A30" s="2" t="s">
        <v>378</v>
      </c>
      <c r="B30" s="2" t="s">
        <v>53</v>
      </c>
      <c r="C30" s="2" t="s">
        <v>80</v>
      </c>
      <c r="D30" s="2" t="s">
        <v>379</v>
      </c>
      <c r="E30" s="2" t="s">
        <v>380</v>
      </c>
      <c r="F30" s="2" t="s">
        <v>98</v>
      </c>
      <c r="G30" s="2" t="s">
        <v>53</v>
      </c>
      <c r="H30" s="2" t="s">
        <v>195</v>
      </c>
      <c r="I30" s="3">
        <v>46211</v>
      </c>
      <c r="J30" s="3">
        <v>46221</v>
      </c>
      <c r="K30" s="2" t="s">
        <v>381</v>
      </c>
      <c r="L30" s="2">
        <v>4</v>
      </c>
      <c r="M30" s="2" t="s">
        <v>382</v>
      </c>
      <c r="N30" s="2" t="s">
        <v>383</v>
      </c>
      <c r="O30" s="2" t="s">
        <v>86</v>
      </c>
      <c r="P30" s="2"/>
    </row>
    <row r="31" spans="1:16" ht="28.8" x14ac:dyDescent="0.3">
      <c r="A31" s="2" t="s">
        <v>384</v>
      </c>
      <c r="B31" s="2" t="s">
        <v>53</v>
      </c>
      <c r="C31" s="2" t="s">
        <v>140</v>
      </c>
      <c r="D31" s="2" t="s">
        <v>385</v>
      </c>
      <c r="E31" s="2" t="s">
        <v>386</v>
      </c>
      <c r="F31" s="2" t="s">
        <v>387</v>
      </c>
      <c r="G31" s="2" t="s">
        <v>53</v>
      </c>
      <c r="H31" s="2" t="s">
        <v>195</v>
      </c>
      <c r="I31" s="3">
        <v>46221</v>
      </c>
      <c r="J31" s="3">
        <v>46231</v>
      </c>
      <c r="K31" s="2" t="s">
        <v>388</v>
      </c>
      <c r="L31" s="2">
        <v>5</v>
      </c>
      <c r="M31" s="2" t="s">
        <v>389</v>
      </c>
      <c r="N31" s="2" t="s">
        <v>390</v>
      </c>
      <c r="O31" s="2" t="s">
        <v>391</v>
      </c>
      <c r="P31" s="2"/>
    </row>
    <row r="32" spans="1:16" ht="28.8" x14ac:dyDescent="0.3">
      <c r="A32" s="2" t="s">
        <v>392</v>
      </c>
      <c r="B32" s="2" t="s">
        <v>53</v>
      </c>
      <c r="C32" s="2" t="s">
        <v>102</v>
      </c>
      <c r="D32" s="2" t="s">
        <v>393</v>
      </c>
      <c r="E32" s="2" t="s">
        <v>394</v>
      </c>
      <c r="F32" s="2" t="s">
        <v>105</v>
      </c>
      <c r="G32" s="2" t="s">
        <v>53</v>
      </c>
      <c r="H32" s="2" t="s">
        <v>195</v>
      </c>
      <c r="I32" s="3">
        <v>46223</v>
      </c>
      <c r="J32" s="3">
        <v>46236</v>
      </c>
      <c r="K32" s="2" t="s">
        <v>395</v>
      </c>
      <c r="L32" s="2">
        <v>5</v>
      </c>
      <c r="M32" s="2" t="s">
        <v>396</v>
      </c>
      <c r="N32" s="2" t="s">
        <v>397</v>
      </c>
      <c r="O32" s="2" t="s">
        <v>86</v>
      </c>
      <c r="P32" s="2"/>
    </row>
    <row r="33" spans="1:16" ht="28.8" x14ac:dyDescent="0.3">
      <c r="A33" s="2" t="s">
        <v>398</v>
      </c>
      <c r="B33" s="2" t="s">
        <v>53</v>
      </c>
      <c r="C33" s="2" t="s">
        <v>80</v>
      </c>
      <c r="D33" s="2" t="s">
        <v>399</v>
      </c>
      <c r="E33" s="2" t="s">
        <v>400</v>
      </c>
      <c r="F33" s="2" t="s">
        <v>98</v>
      </c>
      <c r="G33" s="2" t="s">
        <v>53</v>
      </c>
      <c r="H33" s="2" t="s">
        <v>195</v>
      </c>
      <c r="I33" s="3">
        <v>46235</v>
      </c>
      <c r="J33" s="3">
        <v>46252</v>
      </c>
      <c r="K33" s="2" t="s">
        <v>401</v>
      </c>
      <c r="L33" s="2">
        <v>8</v>
      </c>
      <c r="M33" s="2" t="s">
        <v>402</v>
      </c>
      <c r="N33" s="2" t="s">
        <v>403</v>
      </c>
      <c r="O33" s="2" t="s">
        <v>86</v>
      </c>
      <c r="P33" s="2"/>
    </row>
    <row r="34" spans="1:16" ht="28.8" x14ac:dyDescent="0.3">
      <c r="A34" s="2" t="s">
        <v>404</v>
      </c>
      <c r="B34" s="2" t="s">
        <v>53</v>
      </c>
      <c r="C34" s="2" t="s">
        <v>80</v>
      </c>
      <c r="D34" s="2" t="s">
        <v>405</v>
      </c>
      <c r="E34" s="2" t="s">
        <v>406</v>
      </c>
      <c r="F34" s="2" t="s">
        <v>98</v>
      </c>
      <c r="G34" s="2" t="s">
        <v>53</v>
      </c>
      <c r="H34" s="2" t="s">
        <v>195</v>
      </c>
      <c r="I34" s="3">
        <v>46242</v>
      </c>
      <c r="J34" s="3">
        <v>46256</v>
      </c>
      <c r="K34" s="2" t="s">
        <v>398</v>
      </c>
      <c r="L34" s="2">
        <v>6</v>
      </c>
      <c r="M34" s="2" t="s">
        <v>407</v>
      </c>
      <c r="N34" s="2" t="s">
        <v>408</v>
      </c>
      <c r="O34" s="2" t="s">
        <v>86</v>
      </c>
      <c r="P34" s="2"/>
    </row>
    <row r="35" spans="1:16" x14ac:dyDescent="0.3">
      <c r="A35" s="2" t="s">
        <v>409</v>
      </c>
      <c r="B35" s="2" t="s">
        <v>53</v>
      </c>
      <c r="C35" s="2" t="s">
        <v>80</v>
      </c>
      <c r="D35" s="2" t="s">
        <v>410</v>
      </c>
      <c r="E35" s="2" t="s">
        <v>411</v>
      </c>
      <c r="F35" s="2" t="s">
        <v>282</v>
      </c>
      <c r="G35" s="2" t="s">
        <v>53</v>
      </c>
      <c r="H35" s="2" t="s">
        <v>195</v>
      </c>
      <c r="I35" s="3">
        <v>46249</v>
      </c>
      <c r="J35" s="3">
        <v>46264</v>
      </c>
      <c r="K35" s="2" t="s">
        <v>412</v>
      </c>
      <c r="L35" s="2">
        <v>7</v>
      </c>
      <c r="M35" s="2" t="s">
        <v>413</v>
      </c>
      <c r="N35" s="2" t="s">
        <v>414</v>
      </c>
      <c r="O35" s="2" t="s">
        <v>86</v>
      </c>
      <c r="P35" s="2"/>
    </row>
    <row r="36" spans="1:16" ht="28.8" x14ac:dyDescent="0.3">
      <c r="A36" s="2" t="s">
        <v>415</v>
      </c>
      <c r="B36" s="2" t="s">
        <v>53</v>
      </c>
      <c r="C36" s="2" t="s">
        <v>80</v>
      </c>
      <c r="D36" s="2" t="s">
        <v>416</v>
      </c>
      <c r="E36" s="2" t="s">
        <v>417</v>
      </c>
      <c r="F36" s="2" t="s">
        <v>83</v>
      </c>
      <c r="G36" s="2" t="s">
        <v>53</v>
      </c>
      <c r="H36" s="2" t="s">
        <v>195</v>
      </c>
      <c r="I36" s="3">
        <v>46249</v>
      </c>
      <c r="J36" s="3">
        <v>46265</v>
      </c>
      <c r="K36" s="2" t="s">
        <v>418</v>
      </c>
      <c r="L36" s="2">
        <v>4</v>
      </c>
      <c r="M36" s="2" t="s">
        <v>419</v>
      </c>
      <c r="N36" s="2" t="s">
        <v>420</v>
      </c>
      <c r="O36" s="2" t="s">
        <v>86</v>
      </c>
      <c r="P36" s="2"/>
    </row>
    <row r="37" spans="1:16" ht="28.8" x14ac:dyDescent="0.3">
      <c r="A37" s="2" t="s">
        <v>421</v>
      </c>
      <c r="B37" s="2" t="s">
        <v>53</v>
      </c>
      <c r="C37" s="2" t="s">
        <v>80</v>
      </c>
      <c r="D37" s="2" t="s">
        <v>422</v>
      </c>
      <c r="E37" s="2" t="s">
        <v>423</v>
      </c>
      <c r="F37" s="2" t="s">
        <v>424</v>
      </c>
      <c r="G37" s="2" t="s">
        <v>53</v>
      </c>
      <c r="H37" s="2" t="s">
        <v>195</v>
      </c>
      <c r="I37" s="3">
        <v>46256</v>
      </c>
      <c r="J37" s="3">
        <v>46269</v>
      </c>
      <c r="K37" s="2" t="s">
        <v>425</v>
      </c>
      <c r="L37" s="2">
        <v>5</v>
      </c>
      <c r="M37" s="2" t="s">
        <v>426</v>
      </c>
      <c r="N37" s="2" t="s">
        <v>427</v>
      </c>
      <c r="O37" s="2" t="s">
        <v>86</v>
      </c>
      <c r="P37" s="2"/>
    </row>
    <row r="38" spans="1:16" x14ac:dyDescent="0.3">
      <c r="A38" s="2" t="s">
        <v>428</v>
      </c>
      <c r="B38" s="2" t="s">
        <v>53</v>
      </c>
      <c r="C38" s="2" t="s">
        <v>102</v>
      </c>
      <c r="D38" s="2" t="s">
        <v>429</v>
      </c>
      <c r="E38" s="2" t="s">
        <v>430</v>
      </c>
      <c r="F38" s="2" t="s">
        <v>431</v>
      </c>
      <c r="G38" s="2" t="s">
        <v>53</v>
      </c>
      <c r="H38" s="2" t="s">
        <v>195</v>
      </c>
      <c r="I38" s="3">
        <v>46256</v>
      </c>
      <c r="J38" s="3">
        <v>46269</v>
      </c>
      <c r="K38" s="2" t="s">
        <v>392</v>
      </c>
      <c r="L38" s="2">
        <v>5</v>
      </c>
      <c r="M38" s="2" t="s">
        <v>432</v>
      </c>
      <c r="N38" s="2" t="s">
        <v>433</v>
      </c>
      <c r="O38" s="2" t="s">
        <v>86</v>
      </c>
      <c r="P38" s="2"/>
    </row>
    <row r="39" spans="1:16" x14ac:dyDescent="0.3">
      <c r="A39" s="2" t="s">
        <v>434</v>
      </c>
      <c r="B39" s="2" t="s">
        <v>53</v>
      </c>
      <c r="C39" s="2" t="s">
        <v>102</v>
      </c>
      <c r="D39" s="2" t="s">
        <v>435</v>
      </c>
      <c r="E39" s="2" t="s">
        <v>436</v>
      </c>
      <c r="F39" s="2" t="s">
        <v>105</v>
      </c>
      <c r="G39" s="2" t="s">
        <v>53</v>
      </c>
      <c r="H39" s="2" t="s">
        <v>195</v>
      </c>
      <c r="I39" s="3">
        <v>46256</v>
      </c>
      <c r="J39" s="3">
        <v>46269</v>
      </c>
      <c r="K39" s="2" t="s">
        <v>392</v>
      </c>
      <c r="L39" s="2">
        <v>4</v>
      </c>
      <c r="M39" s="2" t="s">
        <v>437</v>
      </c>
      <c r="N39" s="2" t="s">
        <v>438</v>
      </c>
      <c r="O39" s="2" t="s">
        <v>86</v>
      </c>
      <c r="P39" s="2"/>
    </row>
    <row r="40" spans="1:16" x14ac:dyDescent="0.3">
      <c r="A40" s="2" t="s">
        <v>439</v>
      </c>
      <c r="B40" s="2" t="s">
        <v>53</v>
      </c>
      <c r="C40" s="2" t="s">
        <v>140</v>
      </c>
      <c r="D40" s="2" t="s">
        <v>440</v>
      </c>
      <c r="E40" s="2" t="s">
        <v>441</v>
      </c>
      <c r="F40" s="2" t="s">
        <v>442</v>
      </c>
      <c r="G40" s="2" t="s">
        <v>53</v>
      </c>
      <c r="H40" s="2" t="s">
        <v>195</v>
      </c>
      <c r="I40" s="3">
        <v>46254</v>
      </c>
      <c r="J40" s="3">
        <v>46271</v>
      </c>
      <c r="K40" s="2" t="s">
        <v>443</v>
      </c>
      <c r="L40" s="2">
        <v>5</v>
      </c>
      <c r="M40" s="2" t="s">
        <v>444</v>
      </c>
      <c r="N40" s="2" t="s">
        <v>445</v>
      </c>
      <c r="O40" s="2" t="s">
        <v>71</v>
      </c>
      <c r="P40" s="2"/>
    </row>
    <row r="41" spans="1:16" ht="28.8" x14ac:dyDescent="0.3">
      <c r="A41" s="2" t="s">
        <v>446</v>
      </c>
      <c r="B41" s="2" t="s">
        <v>53</v>
      </c>
      <c r="C41" s="2" t="s">
        <v>140</v>
      </c>
      <c r="D41" s="2" t="s">
        <v>447</v>
      </c>
      <c r="E41" s="2" t="s">
        <v>448</v>
      </c>
      <c r="F41" s="2" t="s">
        <v>209</v>
      </c>
      <c r="G41" s="2" t="s">
        <v>53</v>
      </c>
      <c r="H41" s="2" t="s">
        <v>195</v>
      </c>
      <c r="I41" s="3">
        <v>46266</v>
      </c>
      <c r="J41" s="3">
        <v>46271</v>
      </c>
      <c r="K41" s="2" t="s">
        <v>449</v>
      </c>
      <c r="L41" s="2">
        <v>3</v>
      </c>
      <c r="M41" s="2" t="s">
        <v>450</v>
      </c>
      <c r="N41" s="2" t="s">
        <v>451</v>
      </c>
      <c r="O41" s="2" t="s">
        <v>86</v>
      </c>
      <c r="P41" s="2"/>
    </row>
    <row r="42" spans="1:16" x14ac:dyDescent="0.3">
      <c r="A42" s="2" t="s">
        <v>452</v>
      </c>
      <c r="B42" s="2" t="s">
        <v>117</v>
      </c>
      <c r="C42" s="2" t="s">
        <v>187</v>
      </c>
      <c r="D42" s="2" t="s">
        <v>453</v>
      </c>
      <c r="E42" s="2" t="s">
        <v>454</v>
      </c>
      <c r="F42" s="2" t="s">
        <v>455</v>
      </c>
      <c r="G42" s="2" t="s">
        <v>53</v>
      </c>
      <c r="H42" s="2" t="s">
        <v>195</v>
      </c>
      <c r="I42" s="3">
        <v>46272</v>
      </c>
      <c r="J42" s="3">
        <v>46279</v>
      </c>
      <c r="K42" s="2" t="s">
        <v>456</v>
      </c>
      <c r="L42" s="2">
        <v>3</v>
      </c>
      <c r="M42" s="2" t="s">
        <v>457</v>
      </c>
      <c r="N42" s="2" t="s">
        <v>458</v>
      </c>
      <c r="O42" s="2" t="s">
        <v>71</v>
      </c>
      <c r="P42" s="2"/>
    </row>
    <row r="43" spans="1:16" ht="28.8" x14ac:dyDescent="0.3">
      <c r="A43" s="2" t="s">
        <v>459</v>
      </c>
      <c r="B43" s="2" t="s">
        <v>117</v>
      </c>
      <c r="C43" s="2" t="s">
        <v>187</v>
      </c>
      <c r="D43" s="2" t="s">
        <v>460</v>
      </c>
      <c r="E43" s="2" t="s">
        <v>461</v>
      </c>
      <c r="F43" s="2" t="s">
        <v>455</v>
      </c>
      <c r="G43" s="2" t="s">
        <v>117</v>
      </c>
      <c r="H43" s="2" t="s">
        <v>195</v>
      </c>
      <c r="I43" s="3">
        <v>46275</v>
      </c>
      <c r="J43" s="3">
        <v>46283</v>
      </c>
      <c r="K43" s="2" t="s">
        <v>452</v>
      </c>
      <c r="L43" s="2">
        <v>3</v>
      </c>
      <c r="M43" s="2" t="s">
        <v>462</v>
      </c>
      <c r="N43" s="2" t="s">
        <v>463</v>
      </c>
      <c r="O43" s="2" t="s">
        <v>86</v>
      </c>
      <c r="P43" s="2"/>
    </row>
    <row r="44" spans="1:16" ht="28.8" x14ac:dyDescent="0.3">
      <c r="A44" s="2" t="s">
        <v>464</v>
      </c>
      <c r="B44" s="2" t="s">
        <v>117</v>
      </c>
      <c r="C44" s="2" t="s">
        <v>187</v>
      </c>
      <c r="D44" s="2" t="s">
        <v>465</v>
      </c>
      <c r="E44" s="2" t="s">
        <v>466</v>
      </c>
      <c r="F44" s="2" t="s">
        <v>455</v>
      </c>
      <c r="G44" s="2" t="s">
        <v>53</v>
      </c>
      <c r="H44" s="2" t="s">
        <v>195</v>
      </c>
      <c r="I44" s="3">
        <v>46280</v>
      </c>
      <c r="J44" s="3">
        <v>46289</v>
      </c>
      <c r="K44" s="2" t="s">
        <v>467</v>
      </c>
      <c r="L44" s="2">
        <v>3</v>
      </c>
      <c r="M44" s="2" t="s">
        <v>468</v>
      </c>
      <c r="N44" s="2" t="s">
        <v>469</v>
      </c>
      <c r="O44" s="2" t="s">
        <v>71</v>
      </c>
      <c r="P44" s="2"/>
    </row>
    <row r="45" spans="1:16" ht="28.8" x14ac:dyDescent="0.3">
      <c r="A45" s="2" t="s">
        <v>470</v>
      </c>
      <c r="B45" s="2" t="s">
        <v>117</v>
      </c>
      <c r="C45" s="2" t="s">
        <v>128</v>
      </c>
      <c r="D45" s="2" t="s">
        <v>471</v>
      </c>
      <c r="E45" s="2" t="s">
        <v>472</v>
      </c>
      <c r="F45" s="2" t="s">
        <v>473</v>
      </c>
      <c r="G45" s="2" t="s">
        <v>117</v>
      </c>
      <c r="H45" s="2" t="s">
        <v>195</v>
      </c>
      <c r="I45" s="3">
        <v>46280</v>
      </c>
      <c r="J45" s="3">
        <v>46305</v>
      </c>
      <c r="K45" s="2" t="s">
        <v>474</v>
      </c>
      <c r="L45" s="2">
        <v>8</v>
      </c>
      <c r="M45" s="2" t="s">
        <v>475</v>
      </c>
      <c r="N45" s="2" t="s">
        <v>476</v>
      </c>
      <c r="O45" s="2" t="s">
        <v>71</v>
      </c>
      <c r="P45" s="2"/>
    </row>
    <row r="46" spans="1:16" ht="28.8" x14ac:dyDescent="0.3">
      <c r="A46" s="2" t="s">
        <v>477</v>
      </c>
      <c r="B46" s="2" t="s">
        <v>117</v>
      </c>
      <c r="C46" s="2" t="s">
        <v>478</v>
      </c>
      <c r="D46" s="2" t="s">
        <v>479</v>
      </c>
      <c r="E46" s="2" t="s">
        <v>480</v>
      </c>
      <c r="F46" s="2" t="s">
        <v>481</v>
      </c>
      <c r="G46" s="2" t="s">
        <v>117</v>
      </c>
      <c r="H46" s="2" t="s">
        <v>195</v>
      </c>
      <c r="I46" s="3">
        <v>46287</v>
      </c>
      <c r="J46" s="3">
        <v>46310</v>
      </c>
      <c r="K46" s="2" t="s">
        <v>482</v>
      </c>
      <c r="L46" s="2">
        <v>6</v>
      </c>
      <c r="M46" s="2" t="s">
        <v>483</v>
      </c>
      <c r="N46" s="2" t="s">
        <v>484</v>
      </c>
      <c r="O46" s="2" t="s">
        <v>86</v>
      </c>
      <c r="P46" s="2"/>
    </row>
    <row r="47" spans="1:16" ht="28.8" x14ac:dyDescent="0.3">
      <c r="A47" s="2" t="s">
        <v>485</v>
      </c>
      <c r="B47" s="2" t="s">
        <v>53</v>
      </c>
      <c r="C47" s="2" t="s">
        <v>478</v>
      </c>
      <c r="D47" s="2" t="s">
        <v>486</v>
      </c>
      <c r="E47" s="2" t="s">
        <v>487</v>
      </c>
      <c r="F47" s="2" t="s">
        <v>488</v>
      </c>
      <c r="G47" s="2" t="s">
        <v>53</v>
      </c>
      <c r="H47" s="2" t="s">
        <v>195</v>
      </c>
      <c r="I47" s="3">
        <v>46211</v>
      </c>
      <c r="J47" s="3">
        <v>46221</v>
      </c>
      <c r="K47" s="2" t="s">
        <v>489</v>
      </c>
      <c r="L47" s="2">
        <v>4</v>
      </c>
      <c r="M47" s="2" t="s">
        <v>490</v>
      </c>
      <c r="N47" s="2" t="s">
        <v>491</v>
      </c>
      <c r="O47" s="2" t="s">
        <v>86</v>
      </c>
      <c r="P47" s="2"/>
    </row>
    <row r="48" spans="1:16" ht="28.8" x14ac:dyDescent="0.3">
      <c r="A48" s="2" t="s">
        <v>492</v>
      </c>
      <c r="B48" s="2" t="s">
        <v>117</v>
      </c>
      <c r="C48" s="2" t="s">
        <v>478</v>
      </c>
      <c r="D48" s="2" t="s">
        <v>493</v>
      </c>
      <c r="E48" s="2" t="s">
        <v>494</v>
      </c>
      <c r="F48" s="2" t="s">
        <v>495</v>
      </c>
      <c r="G48" s="2" t="s">
        <v>117</v>
      </c>
      <c r="H48" s="2" t="s">
        <v>195</v>
      </c>
      <c r="I48" s="3">
        <v>46296</v>
      </c>
      <c r="J48" s="3">
        <v>46320</v>
      </c>
      <c r="K48" s="2" t="s">
        <v>496</v>
      </c>
      <c r="L48" s="2">
        <v>6</v>
      </c>
      <c r="M48" s="2" t="s">
        <v>497</v>
      </c>
      <c r="N48" s="2" t="s">
        <v>498</v>
      </c>
      <c r="O48" s="2" t="s">
        <v>86</v>
      </c>
      <c r="P48" s="2"/>
    </row>
    <row r="49" spans="1:16" ht="28.8" x14ac:dyDescent="0.3">
      <c r="A49" s="2" t="s">
        <v>499</v>
      </c>
      <c r="B49" s="2" t="s">
        <v>117</v>
      </c>
      <c r="C49" s="2" t="s">
        <v>65</v>
      </c>
      <c r="D49" s="2" t="s">
        <v>500</v>
      </c>
      <c r="E49" s="2" t="s">
        <v>501</v>
      </c>
      <c r="F49" s="2" t="s">
        <v>502</v>
      </c>
      <c r="G49" s="2" t="s">
        <v>117</v>
      </c>
      <c r="H49" s="2" t="s">
        <v>195</v>
      </c>
      <c r="I49" s="3">
        <v>46303</v>
      </c>
      <c r="J49" s="3">
        <v>46327</v>
      </c>
      <c r="K49" s="2" t="s">
        <v>503</v>
      </c>
      <c r="L49" s="2">
        <v>6</v>
      </c>
      <c r="M49" s="2" t="s">
        <v>504</v>
      </c>
      <c r="N49" s="2" t="s">
        <v>505</v>
      </c>
      <c r="O49" s="2" t="s">
        <v>506</v>
      </c>
      <c r="P49" s="2"/>
    </row>
    <row r="50" spans="1:16" ht="28.8" x14ac:dyDescent="0.3">
      <c r="A50" s="2" t="s">
        <v>507</v>
      </c>
      <c r="B50" s="2" t="s">
        <v>117</v>
      </c>
      <c r="C50" s="2" t="s">
        <v>65</v>
      </c>
      <c r="D50" s="2" t="s">
        <v>508</v>
      </c>
      <c r="E50" s="2" t="s">
        <v>509</v>
      </c>
      <c r="F50" s="2" t="s">
        <v>502</v>
      </c>
      <c r="G50" s="2" t="s">
        <v>117</v>
      </c>
      <c r="H50" s="2" t="s">
        <v>195</v>
      </c>
      <c r="I50" s="3">
        <v>46310</v>
      </c>
      <c r="J50" s="3">
        <v>46334</v>
      </c>
      <c r="K50" s="2" t="s">
        <v>510</v>
      </c>
      <c r="L50" s="2">
        <v>5</v>
      </c>
      <c r="M50" s="2" t="s">
        <v>511</v>
      </c>
      <c r="N50" s="2" t="s">
        <v>512</v>
      </c>
      <c r="O50" s="2" t="s">
        <v>506</v>
      </c>
      <c r="P50" s="2"/>
    </row>
    <row r="51" spans="1:16" x14ac:dyDescent="0.3">
      <c r="A51" s="2" t="s">
        <v>513</v>
      </c>
      <c r="B51" s="2" t="s">
        <v>117</v>
      </c>
      <c r="C51" s="2" t="s">
        <v>187</v>
      </c>
      <c r="D51" s="2" t="s">
        <v>514</v>
      </c>
      <c r="E51" s="2" t="s">
        <v>515</v>
      </c>
      <c r="F51" s="2" t="s">
        <v>455</v>
      </c>
      <c r="G51" s="2" t="s">
        <v>53</v>
      </c>
      <c r="H51" s="2" t="s">
        <v>195</v>
      </c>
      <c r="I51" s="3">
        <v>46327</v>
      </c>
      <c r="J51" s="3">
        <v>46369</v>
      </c>
      <c r="K51" s="2" t="s">
        <v>516</v>
      </c>
      <c r="L51" s="2">
        <v>8</v>
      </c>
      <c r="M51" s="2" t="s">
        <v>517</v>
      </c>
      <c r="N51" s="2" t="s">
        <v>518</v>
      </c>
      <c r="O51" s="2" t="s">
        <v>86</v>
      </c>
      <c r="P51" s="2"/>
    </row>
    <row r="52" spans="1:16" x14ac:dyDescent="0.3">
      <c r="A52" s="2" t="s">
        <v>519</v>
      </c>
      <c r="B52" s="2" t="s">
        <v>117</v>
      </c>
      <c r="C52" s="2" t="s">
        <v>187</v>
      </c>
      <c r="D52" s="2" t="s">
        <v>520</v>
      </c>
      <c r="E52" s="2" t="s">
        <v>521</v>
      </c>
      <c r="F52" s="2" t="s">
        <v>455</v>
      </c>
      <c r="G52" s="2" t="s">
        <v>117</v>
      </c>
      <c r="H52" s="2" t="s">
        <v>195</v>
      </c>
      <c r="I52" s="3">
        <v>46341</v>
      </c>
      <c r="J52" s="3">
        <v>46387</v>
      </c>
      <c r="K52" s="2" t="s">
        <v>522</v>
      </c>
      <c r="L52" s="2">
        <v>5</v>
      </c>
      <c r="M52" s="2" t="s">
        <v>523</v>
      </c>
      <c r="N52" s="2" t="s">
        <v>524</v>
      </c>
      <c r="O52" s="2" t="s">
        <v>525</v>
      </c>
      <c r="P52" s="2"/>
    </row>
    <row r="53" spans="1:16" ht="28.8" x14ac:dyDescent="0.3">
      <c r="A53" s="2" t="s">
        <v>526</v>
      </c>
      <c r="B53" s="2" t="s">
        <v>117</v>
      </c>
      <c r="C53" s="2" t="s">
        <v>102</v>
      </c>
      <c r="D53" s="2" t="s">
        <v>527</v>
      </c>
      <c r="E53" s="2" t="s">
        <v>528</v>
      </c>
      <c r="F53" s="2" t="s">
        <v>105</v>
      </c>
      <c r="G53" s="2" t="s">
        <v>117</v>
      </c>
      <c r="H53" s="2" t="s">
        <v>195</v>
      </c>
      <c r="I53" s="3">
        <v>46370</v>
      </c>
      <c r="J53" s="3">
        <v>46402</v>
      </c>
      <c r="K53" s="2" t="s">
        <v>529</v>
      </c>
      <c r="L53" s="2">
        <v>8</v>
      </c>
      <c r="M53" s="2" t="s">
        <v>530</v>
      </c>
      <c r="N53" s="2" t="s">
        <v>531</v>
      </c>
      <c r="O53" s="2" t="s">
        <v>86</v>
      </c>
      <c r="P53" s="2"/>
    </row>
    <row r="54" spans="1:16" x14ac:dyDescent="0.3">
      <c r="A54" s="2" t="s">
        <v>532</v>
      </c>
      <c r="B54" s="2" t="s">
        <v>117</v>
      </c>
      <c r="C54" s="2" t="s">
        <v>65</v>
      </c>
      <c r="D54" s="2" t="s">
        <v>533</v>
      </c>
      <c r="E54" s="2" t="s">
        <v>534</v>
      </c>
      <c r="F54" s="2" t="s">
        <v>502</v>
      </c>
      <c r="G54" s="2" t="s">
        <v>117</v>
      </c>
      <c r="H54" s="2" t="s">
        <v>195</v>
      </c>
      <c r="I54" s="3">
        <v>46388</v>
      </c>
      <c r="J54" s="3">
        <v>46418</v>
      </c>
      <c r="K54" s="2" t="s">
        <v>535</v>
      </c>
      <c r="L54" s="2">
        <v>8</v>
      </c>
      <c r="M54" s="2" t="s">
        <v>536</v>
      </c>
      <c r="N54" s="2" t="s">
        <v>537</v>
      </c>
      <c r="O54" s="2" t="s">
        <v>71</v>
      </c>
      <c r="P54" s="2"/>
    </row>
    <row r="55" spans="1:16" ht="28.8" x14ac:dyDescent="0.3">
      <c r="A55" s="2" t="s">
        <v>538</v>
      </c>
      <c r="B55" s="2" t="s">
        <v>117</v>
      </c>
      <c r="C55" s="2" t="s">
        <v>187</v>
      </c>
      <c r="D55" s="2" t="s">
        <v>539</v>
      </c>
      <c r="E55" s="2" t="s">
        <v>540</v>
      </c>
      <c r="F55" s="2" t="s">
        <v>541</v>
      </c>
      <c r="G55" s="2" t="s">
        <v>117</v>
      </c>
      <c r="H55" s="2" t="s">
        <v>195</v>
      </c>
      <c r="I55" s="3">
        <v>46402</v>
      </c>
      <c r="J55" s="3">
        <v>46428</v>
      </c>
      <c r="K55" s="2" t="s">
        <v>542</v>
      </c>
      <c r="L55" s="2">
        <v>5</v>
      </c>
      <c r="M55" s="2" t="s">
        <v>543</v>
      </c>
      <c r="N55" s="2" t="s">
        <v>544</v>
      </c>
      <c r="O55" s="2" t="s">
        <v>71</v>
      </c>
      <c r="P55" s="2"/>
    </row>
    <row r="56" spans="1:16" ht="28.8" x14ac:dyDescent="0.3">
      <c r="A56" s="2" t="s">
        <v>545</v>
      </c>
      <c r="B56" s="2" t="s">
        <v>117</v>
      </c>
      <c r="C56" s="2" t="s">
        <v>128</v>
      </c>
      <c r="D56" s="2" t="s">
        <v>546</v>
      </c>
      <c r="E56" s="2" t="s">
        <v>547</v>
      </c>
      <c r="F56" s="2" t="s">
        <v>548</v>
      </c>
      <c r="G56" s="2" t="s">
        <v>117</v>
      </c>
      <c r="H56" s="2" t="s">
        <v>195</v>
      </c>
      <c r="I56" s="3">
        <v>46407</v>
      </c>
      <c r="J56" s="3">
        <v>46433</v>
      </c>
      <c r="K56" s="2" t="s">
        <v>470</v>
      </c>
      <c r="L56" s="2">
        <v>4</v>
      </c>
      <c r="M56" s="2" t="s">
        <v>549</v>
      </c>
      <c r="N56" s="2" t="s">
        <v>550</v>
      </c>
      <c r="O56" s="2" t="s">
        <v>86</v>
      </c>
      <c r="P56" s="2"/>
    </row>
    <row r="57" spans="1:16" ht="28.8" x14ac:dyDescent="0.3">
      <c r="A57" s="2" t="s">
        <v>551</v>
      </c>
      <c r="B57" s="2" t="s">
        <v>117</v>
      </c>
      <c r="C57" s="2" t="s">
        <v>478</v>
      </c>
      <c r="D57" s="2" t="s">
        <v>552</v>
      </c>
      <c r="E57" s="2" t="s">
        <v>553</v>
      </c>
      <c r="F57" s="2" t="s">
        <v>488</v>
      </c>
      <c r="G57" s="2" t="s">
        <v>117</v>
      </c>
      <c r="H57" s="2" t="s">
        <v>195</v>
      </c>
      <c r="I57" s="3">
        <v>46419</v>
      </c>
      <c r="J57" s="3">
        <v>46446</v>
      </c>
      <c r="K57" s="2" t="s">
        <v>554</v>
      </c>
      <c r="L57" s="2">
        <v>6</v>
      </c>
      <c r="M57" s="2" t="s">
        <v>555</v>
      </c>
      <c r="N57" s="2" t="s">
        <v>556</v>
      </c>
      <c r="O57" s="2" t="s">
        <v>86</v>
      </c>
      <c r="P57" s="2"/>
    </row>
    <row r="58" spans="1:16" ht="28.8" x14ac:dyDescent="0.3">
      <c r="A58" s="2" t="s">
        <v>557</v>
      </c>
      <c r="B58" s="2" t="s">
        <v>117</v>
      </c>
      <c r="C58" s="2" t="s">
        <v>140</v>
      </c>
      <c r="D58" s="2" t="s">
        <v>558</v>
      </c>
      <c r="E58" s="2" t="s">
        <v>559</v>
      </c>
      <c r="F58" s="2" t="s">
        <v>209</v>
      </c>
      <c r="G58" s="2" t="s">
        <v>117</v>
      </c>
      <c r="H58" s="2" t="s">
        <v>195</v>
      </c>
      <c r="I58" s="3">
        <v>46433</v>
      </c>
      <c r="J58" s="3">
        <v>46453</v>
      </c>
      <c r="K58" s="2" t="s">
        <v>560</v>
      </c>
      <c r="L58" s="2">
        <v>5</v>
      </c>
      <c r="M58" s="2" t="s">
        <v>561</v>
      </c>
      <c r="N58" s="2" t="s">
        <v>562</v>
      </c>
      <c r="O58" s="2" t="s">
        <v>86</v>
      </c>
      <c r="P58" s="2"/>
    </row>
    <row r="59" spans="1:16" ht="28.8" x14ac:dyDescent="0.3">
      <c r="A59" s="2" t="s">
        <v>563</v>
      </c>
      <c r="B59" s="2" t="s">
        <v>117</v>
      </c>
      <c r="C59" s="2" t="s">
        <v>187</v>
      </c>
      <c r="D59" s="2" t="s">
        <v>564</v>
      </c>
      <c r="E59" s="2" t="s">
        <v>565</v>
      </c>
      <c r="F59" s="2" t="s">
        <v>455</v>
      </c>
      <c r="G59" s="2" t="s">
        <v>117</v>
      </c>
      <c r="H59" s="2" t="s">
        <v>195</v>
      </c>
      <c r="I59" s="3">
        <v>46447</v>
      </c>
      <c r="J59" s="3">
        <v>46460</v>
      </c>
      <c r="K59" s="2" t="s">
        <v>566</v>
      </c>
      <c r="L59" s="2">
        <v>6</v>
      </c>
      <c r="M59" s="2" t="s">
        <v>567</v>
      </c>
      <c r="N59" s="2" t="s">
        <v>568</v>
      </c>
      <c r="O59" s="2" t="s">
        <v>71</v>
      </c>
      <c r="P59" s="2"/>
    </row>
    <row r="60" spans="1:16" x14ac:dyDescent="0.3">
      <c r="A60" s="2" t="s">
        <v>569</v>
      </c>
      <c r="B60" s="2" t="s">
        <v>570</v>
      </c>
      <c r="C60" s="2" t="s">
        <v>65</v>
      </c>
      <c r="D60" s="2" t="s">
        <v>571</v>
      </c>
      <c r="E60" s="2" t="s">
        <v>572</v>
      </c>
      <c r="F60" s="2" t="s">
        <v>502</v>
      </c>
      <c r="G60" s="2" t="s">
        <v>570</v>
      </c>
      <c r="H60" s="2" t="s">
        <v>195</v>
      </c>
      <c r="I60" s="3">
        <v>46461</v>
      </c>
      <c r="J60" s="3">
        <v>46492</v>
      </c>
      <c r="K60" s="2" t="s">
        <v>563</v>
      </c>
      <c r="L60" s="2">
        <v>6</v>
      </c>
      <c r="M60" s="2" t="s">
        <v>573</v>
      </c>
      <c r="N60" s="2" t="s">
        <v>574</v>
      </c>
      <c r="O60" s="2" t="s">
        <v>575</v>
      </c>
      <c r="P60" s="2"/>
    </row>
    <row r="61" spans="1:16" x14ac:dyDescent="0.3">
      <c r="A61" s="2" t="s">
        <v>576</v>
      </c>
      <c r="B61" s="2" t="s">
        <v>570</v>
      </c>
      <c r="C61" s="2" t="s">
        <v>65</v>
      </c>
      <c r="D61" s="2" t="s">
        <v>577</v>
      </c>
      <c r="E61" s="2" t="s">
        <v>578</v>
      </c>
      <c r="F61" s="2" t="s">
        <v>502</v>
      </c>
      <c r="G61" s="2" t="s">
        <v>570</v>
      </c>
      <c r="H61" s="2" t="s">
        <v>195</v>
      </c>
      <c r="I61" s="3">
        <v>46478</v>
      </c>
      <c r="J61" s="3">
        <v>46508</v>
      </c>
      <c r="K61" s="2" t="s">
        <v>569</v>
      </c>
      <c r="L61" s="2">
        <v>6</v>
      </c>
      <c r="M61" s="2" t="s">
        <v>579</v>
      </c>
      <c r="N61" s="2" t="s">
        <v>580</v>
      </c>
      <c r="O61" s="2" t="s">
        <v>370</v>
      </c>
      <c r="P61" s="2"/>
    </row>
    <row r="62" spans="1:16" ht="28.8" x14ac:dyDescent="0.3">
      <c r="A62" s="2" t="s">
        <v>581</v>
      </c>
      <c r="B62" s="2" t="s">
        <v>570</v>
      </c>
      <c r="C62" s="2" t="s">
        <v>65</v>
      </c>
      <c r="D62" s="2" t="s">
        <v>582</v>
      </c>
      <c r="E62" s="2" t="s">
        <v>583</v>
      </c>
      <c r="F62" s="2" t="s">
        <v>75</v>
      </c>
      <c r="G62" s="2" t="s">
        <v>570</v>
      </c>
      <c r="H62" s="2" t="s">
        <v>195</v>
      </c>
      <c r="I62" s="3">
        <v>46508</v>
      </c>
      <c r="J62" s="3">
        <v>46553</v>
      </c>
      <c r="K62" s="2" t="s">
        <v>584</v>
      </c>
      <c r="L62" s="2">
        <v>6</v>
      </c>
      <c r="M62" s="2" t="s">
        <v>585</v>
      </c>
      <c r="N62" s="2" t="s">
        <v>586</v>
      </c>
      <c r="O62" s="2" t="s">
        <v>370</v>
      </c>
      <c r="P62" s="2"/>
    </row>
    <row r="63" spans="1:16" ht="28.8" x14ac:dyDescent="0.3">
      <c r="A63" s="2" t="s">
        <v>587</v>
      </c>
      <c r="B63" s="2" t="s">
        <v>570</v>
      </c>
      <c r="C63" s="2" t="s">
        <v>588</v>
      </c>
      <c r="D63" s="2" t="s">
        <v>589</v>
      </c>
      <c r="E63" s="2" t="s">
        <v>590</v>
      </c>
      <c r="F63" s="2" t="s">
        <v>591</v>
      </c>
      <c r="G63" s="2" t="s">
        <v>570</v>
      </c>
      <c r="H63" s="2" t="s">
        <v>195</v>
      </c>
      <c r="I63" s="3">
        <v>46492</v>
      </c>
      <c r="J63" s="3">
        <v>46538</v>
      </c>
      <c r="K63" s="2" t="s">
        <v>592</v>
      </c>
      <c r="L63" s="2">
        <v>6</v>
      </c>
      <c r="M63" s="2" t="s">
        <v>593</v>
      </c>
      <c r="N63" s="2" t="s">
        <v>594</v>
      </c>
      <c r="O63" s="2" t="s">
        <v>595</v>
      </c>
      <c r="P63" s="2"/>
    </row>
    <row r="64" spans="1:16" ht="28.8" x14ac:dyDescent="0.3">
      <c r="A64" s="2" t="s">
        <v>596</v>
      </c>
      <c r="B64" s="2" t="s">
        <v>570</v>
      </c>
      <c r="C64" s="2" t="s">
        <v>588</v>
      </c>
      <c r="D64" s="2" t="s">
        <v>597</v>
      </c>
      <c r="E64" s="2" t="s">
        <v>598</v>
      </c>
      <c r="F64" s="2" t="s">
        <v>591</v>
      </c>
      <c r="G64" s="2" t="s">
        <v>570</v>
      </c>
      <c r="H64" s="2" t="s">
        <v>195</v>
      </c>
      <c r="I64" s="3">
        <v>46522</v>
      </c>
      <c r="J64" s="3">
        <v>46569</v>
      </c>
      <c r="K64" s="2" t="s">
        <v>599</v>
      </c>
      <c r="L64" s="2">
        <v>6</v>
      </c>
      <c r="M64" s="2" t="s">
        <v>600</v>
      </c>
      <c r="N64" s="2" t="s">
        <v>601</v>
      </c>
      <c r="O64" s="2" t="s">
        <v>602</v>
      </c>
      <c r="P64" s="2"/>
    </row>
    <row r="65" spans="1:16" x14ac:dyDescent="0.3">
      <c r="A65" s="2" t="s">
        <v>603</v>
      </c>
      <c r="B65" s="2" t="s">
        <v>570</v>
      </c>
      <c r="C65" s="2" t="s">
        <v>478</v>
      </c>
      <c r="D65" s="2" t="s">
        <v>604</v>
      </c>
      <c r="E65" s="2" t="s">
        <v>605</v>
      </c>
      <c r="F65" s="2" t="s">
        <v>481</v>
      </c>
      <c r="G65" s="2" t="s">
        <v>570</v>
      </c>
      <c r="H65" s="2" t="s">
        <v>195</v>
      </c>
      <c r="I65" s="3">
        <v>46539</v>
      </c>
      <c r="J65" s="3">
        <v>46583</v>
      </c>
      <c r="K65" s="2" t="s">
        <v>606</v>
      </c>
      <c r="L65" s="2">
        <v>5</v>
      </c>
      <c r="M65" s="2" t="s">
        <v>607</v>
      </c>
      <c r="N65" s="2" t="s">
        <v>608</v>
      </c>
      <c r="O65" s="2" t="s">
        <v>86</v>
      </c>
      <c r="P65" s="2"/>
    </row>
    <row r="66" spans="1:16" ht="28.8" x14ac:dyDescent="0.3">
      <c r="A66" s="2" t="s">
        <v>609</v>
      </c>
      <c r="B66" s="2" t="s">
        <v>570</v>
      </c>
      <c r="C66" s="2" t="s">
        <v>478</v>
      </c>
      <c r="D66" s="2" t="s">
        <v>610</v>
      </c>
      <c r="E66" s="2" t="s">
        <v>611</v>
      </c>
      <c r="F66" s="2" t="s">
        <v>488</v>
      </c>
      <c r="G66" s="2" t="s">
        <v>570</v>
      </c>
      <c r="H66" s="2" t="s">
        <v>195</v>
      </c>
      <c r="I66" s="3">
        <v>46569</v>
      </c>
      <c r="J66" s="3">
        <v>46614</v>
      </c>
      <c r="K66" s="2" t="s">
        <v>612</v>
      </c>
      <c r="L66" s="2">
        <v>6</v>
      </c>
      <c r="M66" s="2" t="s">
        <v>613</v>
      </c>
      <c r="N66" s="2" t="s">
        <v>614</v>
      </c>
      <c r="O66" s="2" t="s">
        <v>86</v>
      </c>
      <c r="P66" s="2"/>
    </row>
    <row r="67" spans="1:16" ht="28.8" x14ac:dyDescent="0.3">
      <c r="A67" s="2" t="s">
        <v>615</v>
      </c>
      <c r="B67" s="2" t="s">
        <v>570</v>
      </c>
      <c r="C67" s="2" t="s">
        <v>49</v>
      </c>
      <c r="D67" s="2" t="s">
        <v>616</v>
      </c>
      <c r="E67" s="2" t="s">
        <v>617</v>
      </c>
      <c r="F67" s="2" t="s">
        <v>52</v>
      </c>
      <c r="G67" s="2" t="s">
        <v>117</v>
      </c>
      <c r="H67" s="2" t="s">
        <v>195</v>
      </c>
      <c r="I67" s="3">
        <v>46614</v>
      </c>
      <c r="J67" s="3">
        <v>46642</v>
      </c>
      <c r="K67" s="2" t="s">
        <v>618</v>
      </c>
      <c r="L67" s="2">
        <v>3</v>
      </c>
      <c r="M67" s="2" t="s">
        <v>619</v>
      </c>
      <c r="N67" s="2" t="s">
        <v>620</v>
      </c>
      <c r="O67" s="2" t="s">
        <v>86</v>
      </c>
      <c r="P67" s="2"/>
    </row>
    <row r="68" spans="1:16" ht="28.8" x14ac:dyDescent="0.3">
      <c r="A68" s="2" t="s">
        <v>621</v>
      </c>
      <c r="B68" s="2" t="s">
        <v>570</v>
      </c>
      <c r="C68" s="2" t="s">
        <v>588</v>
      </c>
      <c r="D68" s="2" t="s">
        <v>622</v>
      </c>
      <c r="E68" s="2" t="s">
        <v>623</v>
      </c>
      <c r="F68" s="2" t="s">
        <v>624</v>
      </c>
      <c r="G68" s="2" t="s">
        <v>570</v>
      </c>
      <c r="H68" s="2" t="s">
        <v>195</v>
      </c>
      <c r="I68" s="3">
        <v>46643</v>
      </c>
      <c r="J68" s="3">
        <v>46692</v>
      </c>
      <c r="K68" s="2" t="s">
        <v>625</v>
      </c>
      <c r="L68" s="2">
        <v>8</v>
      </c>
      <c r="M68" s="2" t="s">
        <v>626</v>
      </c>
      <c r="N68" s="2" t="s">
        <v>627</v>
      </c>
      <c r="O68" s="2" t="s">
        <v>370</v>
      </c>
      <c r="P68" s="2"/>
    </row>
    <row r="69" spans="1:16" ht="28.8" x14ac:dyDescent="0.3">
      <c r="A69" s="2" t="s">
        <v>628</v>
      </c>
      <c r="B69" s="2" t="s">
        <v>570</v>
      </c>
      <c r="C69" s="2" t="s">
        <v>80</v>
      </c>
      <c r="D69" s="2" t="s">
        <v>629</v>
      </c>
      <c r="E69" s="2" t="s">
        <v>630</v>
      </c>
      <c r="F69" s="2" t="s">
        <v>83</v>
      </c>
      <c r="G69" s="2" t="s">
        <v>570</v>
      </c>
      <c r="H69" s="2" t="s">
        <v>195</v>
      </c>
      <c r="I69" s="3">
        <v>46643</v>
      </c>
      <c r="J69" s="3">
        <v>46675</v>
      </c>
      <c r="K69" s="2" t="s">
        <v>621</v>
      </c>
      <c r="L69" s="2">
        <v>5</v>
      </c>
      <c r="M69" s="2" t="s">
        <v>631</v>
      </c>
      <c r="N69" s="2" t="s">
        <v>632</v>
      </c>
      <c r="O69" s="2" t="s">
        <v>370</v>
      </c>
      <c r="P69" s="2"/>
    </row>
    <row r="70" spans="1:16" ht="28.8" x14ac:dyDescent="0.3">
      <c r="A70" s="2" t="s">
        <v>633</v>
      </c>
      <c r="B70" s="2" t="s">
        <v>570</v>
      </c>
      <c r="C70" s="2" t="s">
        <v>588</v>
      </c>
      <c r="D70" s="2" t="s">
        <v>634</v>
      </c>
      <c r="E70" s="2" t="s">
        <v>635</v>
      </c>
      <c r="F70" s="2" t="s">
        <v>591</v>
      </c>
      <c r="G70" s="2" t="s">
        <v>570</v>
      </c>
      <c r="H70" s="2" t="s">
        <v>195</v>
      </c>
      <c r="I70" s="3">
        <v>46692</v>
      </c>
      <c r="J70" s="3">
        <v>46752</v>
      </c>
      <c r="K70" s="2" t="s">
        <v>636</v>
      </c>
      <c r="L70" s="2">
        <v>7</v>
      </c>
      <c r="M70" s="2" t="s">
        <v>637</v>
      </c>
      <c r="N70" s="2" t="s">
        <v>638</v>
      </c>
      <c r="O70" s="2" t="s">
        <v>370</v>
      </c>
      <c r="P70" s="2"/>
    </row>
    <row r="71" spans="1:16" ht="28.8" x14ac:dyDescent="0.3">
      <c r="A71" s="2" t="s">
        <v>639</v>
      </c>
      <c r="B71" s="2" t="s">
        <v>570</v>
      </c>
      <c r="C71" s="2" t="s">
        <v>588</v>
      </c>
      <c r="D71" s="2" t="s">
        <v>640</v>
      </c>
      <c r="E71" s="2" t="s">
        <v>641</v>
      </c>
      <c r="F71" s="2" t="s">
        <v>591</v>
      </c>
      <c r="G71" s="2" t="s">
        <v>570</v>
      </c>
      <c r="H71" s="2" t="s">
        <v>195</v>
      </c>
      <c r="I71" s="3">
        <v>46753</v>
      </c>
      <c r="J71" s="3">
        <v>46824</v>
      </c>
      <c r="K71" s="2" t="s">
        <v>633</v>
      </c>
      <c r="L71" s="2">
        <v>7</v>
      </c>
      <c r="M71" s="2" t="s">
        <v>642</v>
      </c>
      <c r="N71" s="2" t="s">
        <v>643</v>
      </c>
      <c r="O71" s="2" t="s">
        <v>644</v>
      </c>
      <c r="P71" s="2"/>
    </row>
    <row r="72" spans="1:16" ht="28.8" x14ac:dyDescent="0.3">
      <c r="A72" s="2" t="s">
        <v>645</v>
      </c>
      <c r="B72" s="2" t="s">
        <v>570</v>
      </c>
      <c r="C72" s="2" t="s">
        <v>33</v>
      </c>
      <c r="D72" s="2" t="s">
        <v>646</v>
      </c>
      <c r="E72" s="2" t="s">
        <v>647</v>
      </c>
      <c r="F72" s="2" t="s">
        <v>52</v>
      </c>
      <c r="G72" s="2" t="s">
        <v>570</v>
      </c>
      <c r="H72" s="2" t="s">
        <v>195</v>
      </c>
      <c r="I72" s="3">
        <v>46825</v>
      </c>
      <c r="J72" s="3">
        <v>46934</v>
      </c>
      <c r="K72" s="2" t="s">
        <v>639</v>
      </c>
      <c r="L72" s="2">
        <v>5</v>
      </c>
      <c r="M72" s="2" t="s">
        <v>648</v>
      </c>
      <c r="N72" s="2" t="s">
        <v>649</v>
      </c>
      <c r="O72" s="2" t="s">
        <v>650</v>
      </c>
      <c r="P72" s="2"/>
    </row>
    <row r="73" spans="1:16" ht="28.8" x14ac:dyDescent="0.3">
      <c r="A73" s="2" t="s">
        <v>651</v>
      </c>
      <c r="B73" s="2" t="s">
        <v>570</v>
      </c>
      <c r="C73" s="2" t="s">
        <v>33</v>
      </c>
      <c r="D73" s="2" t="s">
        <v>652</v>
      </c>
      <c r="E73" s="2" t="s">
        <v>653</v>
      </c>
      <c r="F73" s="2" t="s">
        <v>654</v>
      </c>
      <c r="G73" s="2" t="s">
        <v>570</v>
      </c>
      <c r="H73" s="2" t="s">
        <v>195</v>
      </c>
      <c r="I73" s="3">
        <v>46935</v>
      </c>
      <c r="J73" s="3">
        <v>47057</v>
      </c>
      <c r="K73" s="2" t="s">
        <v>655</v>
      </c>
      <c r="L73" s="2">
        <v>8</v>
      </c>
      <c r="M73" s="2" t="s">
        <v>656</v>
      </c>
      <c r="N73" s="2" t="s">
        <v>657</v>
      </c>
      <c r="O73" s="2" t="s">
        <v>650</v>
      </c>
      <c r="P73" s="2"/>
    </row>
    <row r="74" spans="1:16" ht="28.8" x14ac:dyDescent="0.3">
      <c r="A74" s="2" t="s">
        <v>658</v>
      </c>
      <c r="B74" s="2" t="s">
        <v>570</v>
      </c>
      <c r="C74" s="2" t="s">
        <v>33</v>
      </c>
      <c r="D74" s="2" t="s">
        <v>659</v>
      </c>
      <c r="E74" s="2" t="s">
        <v>660</v>
      </c>
      <c r="F74" s="2" t="s">
        <v>661</v>
      </c>
      <c r="G74" s="2" t="s">
        <v>570</v>
      </c>
      <c r="H74" s="2" t="s">
        <v>195</v>
      </c>
      <c r="I74" s="3">
        <v>47058</v>
      </c>
      <c r="J74" s="3">
        <v>47208</v>
      </c>
      <c r="K74" s="2" t="s">
        <v>662</v>
      </c>
      <c r="L74" s="2">
        <v>9</v>
      </c>
      <c r="M74" s="2" t="s">
        <v>663</v>
      </c>
      <c r="N74" s="2" t="s">
        <v>664</v>
      </c>
      <c r="O74" s="2" t="s">
        <v>650</v>
      </c>
      <c r="P74" s="2"/>
    </row>
    <row r="75" spans="1:16" x14ac:dyDescent="0.3">
      <c r="A75" s="2" t="s">
        <v>665</v>
      </c>
      <c r="B75" s="2" t="s">
        <v>570</v>
      </c>
      <c r="C75" s="2" t="s">
        <v>33</v>
      </c>
      <c r="D75" s="2" t="s">
        <v>666</v>
      </c>
      <c r="E75" s="2" t="s">
        <v>667</v>
      </c>
      <c r="F75" s="2" t="s">
        <v>668</v>
      </c>
      <c r="G75" s="2" t="s">
        <v>570</v>
      </c>
      <c r="H75" s="2" t="s">
        <v>195</v>
      </c>
      <c r="I75" s="3">
        <v>47209</v>
      </c>
      <c r="J75" s="3">
        <v>47299</v>
      </c>
      <c r="K75" s="2" t="s">
        <v>658</v>
      </c>
      <c r="L75" s="2">
        <v>8</v>
      </c>
      <c r="M75" s="2" t="s">
        <v>669</v>
      </c>
      <c r="N75" s="2" t="s">
        <v>670</v>
      </c>
      <c r="O75" s="2" t="s">
        <v>650</v>
      </c>
      <c r="P75" s="2"/>
    </row>
  </sheetData>
  <dataValidations count="2">
    <dataValidation type="list" showInputMessage="1" showErrorMessage="1" sqref="H2:H75" xr:uid="{00000000-0002-0000-0300-000000000000}">
      <formula1>"Done,In Progress,In Review,In QA,Blocked,Not Started,Deferred"</formula1>
    </dataValidation>
    <dataValidation type="list" showInputMessage="1" showErrorMessage="1" sqref="G2:G75" xr:uid="{00000000-0002-0000-0300-000001000000}">
      <formula1>"P0,P1,P2,P3"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2" customWidth="1"/>
    <col min="2" max="2" width="28" customWidth="1"/>
    <col min="3" max="3" width="56" customWidth="1"/>
    <col min="4" max="4" width="58" customWidth="1"/>
    <col min="5" max="5" width="30" customWidth="1"/>
    <col min="6" max="6" width="46" customWidth="1"/>
  </cols>
  <sheetData>
    <row r="1" spans="1:6" x14ac:dyDescent="0.3">
      <c r="A1" s="1" t="s">
        <v>671</v>
      </c>
      <c r="B1" s="1" t="s">
        <v>672</v>
      </c>
      <c r="C1" s="1" t="s">
        <v>673</v>
      </c>
      <c r="D1" s="1" t="s">
        <v>674</v>
      </c>
      <c r="E1" s="1" t="s">
        <v>675</v>
      </c>
      <c r="F1" s="1" t="s">
        <v>44</v>
      </c>
    </row>
    <row r="2" spans="1:6" x14ac:dyDescent="0.3">
      <c r="A2" s="2" t="s">
        <v>63</v>
      </c>
      <c r="B2" s="2" t="s">
        <v>676</v>
      </c>
      <c r="C2" s="2" t="s">
        <v>677</v>
      </c>
      <c r="D2" s="2" t="s">
        <v>678</v>
      </c>
      <c r="E2" s="2" t="s">
        <v>679</v>
      </c>
      <c r="F2" s="2" t="s">
        <v>338</v>
      </c>
    </row>
    <row r="3" spans="1:6" x14ac:dyDescent="0.3">
      <c r="A3" s="2" t="s">
        <v>316</v>
      </c>
      <c r="B3" s="2" t="s">
        <v>680</v>
      </c>
      <c r="C3" s="2" t="s">
        <v>681</v>
      </c>
      <c r="D3" s="2" t="s">
        <v>682</v>
      </c>
      <c r="E3" s="2" t="s">
        <v>683</v>
      </c>
      <c r="F3" s="2" t="s">
        <v>684</v>
      </c>
    </row>
    <row r="4" spans="1:6" x14ac:dyDescent="0.3">
      <c r="A4" s="2" t="s">
        <v>351</v>
      </c>
      <c r="B4" s="2" t="s">
        <v>685</v>
      </c>
      <c r="C4" s="2" t="s">
        <v>686</v>
      </c>
      <c r="D4" s="2" t="s">
        <v>687</v>
      </c>
      <c r="E4" s="2" t="s">
        <v>688</v>
      </c>
      <c r="F4" s="2" t="s">
        <v>689</v>
      </c>
    </row>
    <row r="5" spans="1:6" x14ac:dyDescent="0.3">
      <c r="A5" s="2" t="s">
        <v>323</v>
      </c>
      <c r="B5" s="2" t="s">
        <v>690</v>
      </c>
      <c r="C5" s="2" t="s">
        <v>691</v>
      </c>
      <c r="D5" s="2" t="s">
        <v>692</v>
      </c>
      <c r="E5" s="2" t="s">
        <v>693</v>
      </c>
      <c r="F5" s="2" t="s">
        <v>694</v>
      </c>
    </row>
    <row r="6" spans="1:6" ht="28.8" x14ac:dyDescent="0.3">
      <c r="A6" s="2" t="s">
        <v>377</v>
      </c>
      <c r="B6" s="2" t="s">
        <v>695</v>
      </c>
      <c r="C6" s="2" t="s">
        <v>696</v>
      </c>
      <c r="D6" s="2" t="s">
        <v>697</v>
      </c>
      <c r="E6" s="2" t="s">
        <v>698</v>
      </c>
      <c r="F6" s="2" t="s">
        <v>699</v>
      </c>
    </row>
    <row r="7" spans="1:6" x14ac:dyDescent="0.3">
      <c r="A7" s="2" t="s">
        <v>506</v>
      </c>
      <c r="B7" s="2" t="s">
        <v>700</v>
      </c>
      <c r="C7" s="2" t="s">
        <v>701</v>
      </c>
      <c r="D7" s="2" t="s">
        <v>702</v>
      </c>
      <c r="E7" s="2" t="s">
        <v>703</v>
      </c>
      <c r="F7" s="2" t="s">
        <v>704</v>
      </c>
    </row>
    <row r="8" spans="1:6" x14ac:dyDescent="0.3">
      <c r="A8" s="2" t="s">
        <v>86</v>
      </c>
      <c r="B8" s="2" t="s">
        <v>705</v>
      </c>
      <c r="C8" s="2" t="s">
        <v>706</v>
      </c>
      <c r="D8" s="2" t="s">
        <v>707</v>
      </c>
      <c r="E8" s="2" t="s">
        <v>708</v>
      </c>
      <c r="F8" s="2" t="s">
        <v>709</v>
      </c>
    </row>
    <row r="9" spans="1:6" ht="28.8" x14ac:dyDescent="0.3">
      <c r="A9" s="2" t="s">
        <v>370</v>
      </c>
      <c r="B9" s="2" t="s">
        <v>710</v>
      </c>
      <c r="C9" s="2" t="s">
        <v>711</v>
      </c>
      <c r="D9" s="2" t="s">
        <v>712</v>
      </c>
      <c r="E9" s="2" t="s">
        <v>713</v>
      </c>
      <c r="F9" s="2" t="s">
        <v>714</v>
      </c>
    </row>
    <row r="10" spans="1:6" x14ac:dyDescent="0.3">
      <c r="A10" s="2" t="s">
        <v>644</v>
      </c>
      <c r="B10" s="2" t="s">
        <v>715</v>
      </c>
      <c r="C10" s="2" t="s">
        <v>716</v>
      </c>
      <c r="D10" s="2" t="s">
        <v>717</v>
      </c>
      <c r="E10" s="2" t="s">
        <v>718</v>
      </c>
      <c r="F10" s="2" t="s">
        <v>719</v>
      </c>
    </row>
    <row r="11" spans="1:6" x14ac:dyDescent="0.3">
      <c r="A11" s="2" t="s">
        <v>650</v>
      </c>
      <c r="B11" s="2" t="s">
        <v>720</v>
      </c>
      <c r="C11" s="2" t="s">
        <v>721</v>
      </c>
      <c r="D11" s="2" t="s">
        <v>722</v>
      </c>
      <c r="E11" s="2" t="s">
        <v>723</v>
      </c>
      <c r="F11" s="2" t="s">
        <v>724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showGridLines="0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2" customWidth="1"/>
    <col min="2" max="2" width="42" customWidth="1"/>
    <col min="3" max="4" width="14" customWidth="1"/>
    <col min="5" max="5" width="18" customWidth="1"/>
    <col min="6" max="6" width="28" customWidth="1"/>
  </cols>
  <sheetData>
    <row r="1" spans="1:6" x14ac:dyDescent="0.3">
      <c r="A1" s="1" t="s">
        <v>725</v>
      </c>
      <c r="B1" s="1" t="s">
        <v>21</v>
      </c>
      <c r="C1" s="1" t="s">
        <v>22</v>
      </c>
      <c r="D1" s="1" t="s">
        <v>23</v>
      </c>
      <c r="E1" s="1" t="s">
        <v>726</v>
      </c>
      <c r="F1" s="1" t="s">
        <v>727</v>
      </c>
    </row>
    <row r="2" spans="1:6" x14ac:dyDescent="0.3">
      <c r="A2" s="2" t="s">
        <v>48</v>
      </c>
      <c r="B2" s="2" t="s">
        <v>25</v>
      </c>
      <c r="C2" s="3">
        <v>46174</v>
      </c>
      <c r="D2" s="3">
        <v>46186</v>
      </c>
      <c r="E2" s="2">
        <f t="shared" ref="E2:E10" si="0">D2-C2+1</f>
        <v>13</v>
      </c>
      <c r="F2" s="2"/>
    </row>
    <row r="3" spans="1:6" x14ac:dyDescent="0.3">
      <c r="A3" s="2" t="s">
        <v>53</v>
      </c>
      <c r="B3" s="2" t="s">
        <v>26</v>
      </c>
      <c r="C3" s="3">
        <v>46188</v>
      </c>
      <c r="D3" s="3">
        <v>46201</v>
      </c>
      <c r="E3" s="2">
        <f t="shared" si="0"/>
        <v>14</v>
      </c>
      <c r="F3" s="2"/>
    </row>
    <row r="4" spans="1:6" x14ac:dyDescent="0.3">
      <c r="A4" s="2" t="s">
        <v>117</v>
      </c>
      <c r="B4" s="2" t="s">
        <v>27</v>
      </c>
      <c r="C4" s="3">
        <v>46202</v>
      </c>
      <c r="D4" s="3">
        <v>46222</v>
      </c>
      <c r="E4" s="2">
        <f t="shared" si="0"/>
        <v>21</v>
      </c>
      <c r="F4" s="2" t="s">
        <v>728</v>
      </c>
    </row>
    <row r="5" spans="1:6" x14ac:dyDescent="0.3">
      <c r="A5" s="2" t="s">
        <v>570</v>
      </c>
      <c r="B5" s="2" t="s">
        <v>28</v>
      </c>
      <c r="C5" s="3">
        <v>46223</v>
      </c>
      <c r="D5" s="3">
        <v>46271</v>
      </c>
      <c r="E5" s="2">
        <f t="shared" si="0"/>
        <v>49</v>
      </c>
      <c r="F5" s="2" t="s">
        <v>729</v>
      </c>
    </row>
    <row r="6" spans="1:6" x14ac:dyDescent="0.3">
      <c r="A6" s="2" t="s">
        <v>730</v>
      </c>
      <c r="B6" s="2" t="s">
        <v>29</v>
      </c>
      <c r="C6" s="3">
        <v>46272</v>
      </c>
      <c r="D6" s="3">
        <v>46369</v>
      </c>
      <c r="E6" s="2">
        <f t="shared" si="0"/>
        <v>98</v>
      </c>
      <c r="F6" s="2" t="s">
        <v>731</v>
      </c>
    </row>
    <row r="7" spans="1:6" x14ac:dyDescent="0.3">
      <c r="A7" s="2" t="s">
        <v>732</v>
      </c>
      <c r="B7" s="2" t="s">
        <v>30</v>
      </c>
      <c r="C7" s="3">
        <v>46370</v>
      </c>
      <c r="D7" s="3">
        <v>46460</v>
      </c>
      <c r="E7" s="2">
        <f t="shared" si="0"/>
        <v>91</v>
      </c>
      <c r="F7" s="2" t="s">
        <v>733</v>
      </c>
    </row>
    <row r="8" spans="1:6" x14ac:dyDescent="0.3">
      <c r="A8" s="2" t="s">
        <v>734</v>
      </c>
      <c r="B8" s="2" t="s">
        <v>31</v>
      </c>
      <c r="C8" s="3">
        <v>46461</v>
      </c>
      <c r="D8" s="3">
        <v>46642</v>
      </c>
      <c r="E8" s="2">
        <f t="shared" si="0"/>
        <v>182</v>
      </c>
      <c r="F8" s="2" t="s">
        <v>735</v>
      </c>
    </row>
    <row r="9" spans="1:6" x14ac:dyDescent="0.3">
      <c r="A9" s="2" t="s">
        <v>736</v>
      </c>
      <c r="B9" s="2" t="s">
        <v>32</v>
      </c>
      <c r="C9" s="3">
        <v>46643</v>
      </c>
      <c r="D9" s="3">
        <v>46824</v>
      </c>
      <c r="E9" s="2">
        <f t="shared" si="0"/>
        <v>182</v>
      </c>
      <c r="F9" s="2" t="s">
        <v>737</v>
      </c>
    </row>
    <row r="10" spans="1:6" x14ac:dyDescent="0.3">
      <c r="A10" s="2" t="s">
        <v>738</v>
      </c>
      <c r="B10" s="2" t="s">
        <v>33</v>
      </c>
      <c r="C10" s="3">
        <v>46825</v>
      </c>
      <c r="D10" s="3">
        <v>47299</v>
      </c>
      <c r="E10" s="2">
        <f t="shared" si="0"/>
        <v>475</v>
      </c>
      <c r="F10" s="2" t="s">
        <v>739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64"/>
  <sheetViews>
    <sheetView showGridLines="0" workbookViewId="0">
      <pane ySplit="1" topLeftCell="A33" activePane="bottomLeft" state="frozen"/>
      <selection pane="bottomLeft" activeCell="B55" sqref="B55"/>
    </sheetView>
  </sheetViews>
  <sheetFormatPr defaultRowHeight="14.4" x14ac:dyDescent="0.3"/>
  <cols>
    <col min="1" max="1" width="16" customWidth="1"/>
    <col min="2" max="3" width="18" customWidth="1"/>
    <col min="4" max="4" width="58" customWidth="1"/>
    <col min="5" max="5" width="20" customWidth="1"/>
  </cols>
  <sheetData>
    <row r="1" spans="1:5" x14ac:dyDescent="0.3">
      <c r="A1" s="1" t="s">
        <v>34</v>
      </c>
      <c r="B1" s="1" t="s">
        <v>740</v>
      </c>
      <c r="C1" s="1" t="s">
        <v>741</v>
      </c>
      <c r="D1" s="1" t="s">
        <v>742</v>
      </c>
      <c r="E1" s="1" t="s">
        <v>743</v>
      </c>
    </row>
    <row r="2" spans="1:5" x14ac:dyDescent="0.3">
      <c r="A2" s="2" t="s">
        <v>58</v>
      </c>
      <c r="B2" s="2" t="s">
        <v>47</v>
      </c>
      <c r="C2" s="2" t="s">
        <v>744</v>
      </c>
      <c r="D2" s="2" t="s">
        <v>745</v>
      </c>
      <c r="E2" s="2" t="s">
        <v>746</v>
      </c>
    </row>
    <row r="3" spans="1:5" x14ac:dyDescent="0.3">
      <c r="A3" s="2" t="s">
        <v>64</v>
      </c>
      <c r="B3" s="2" t="s">
        <v>58</v>
      </c>
      <c r="C3" s="2" t="s">
        <v>744</v>
      </c>
      <c r="D3" s="2" t="s">
        <v>745</v>
      </c>
      <c r="E3" s="2" t="s">
        <v>746</v>
      </c>
    </row>
    <row r="4" spans="1:5" x14ac:dyDescent="0.3">
      <c r="A4" s="2" t="s">
        <v>72</v>
      </c>
      <c r="B4" s="2" t="s">
        <v>64</v>
      </c>
      <c r="C4" s="2" t="s">
        <v>744</v>
      </c>
      <c r="D4" s="2" t="s">
        <v>745</v>
      </c>
      <c r="E4" s="2" t="s">
        <v>746</v>
      </c>
    </row>
    <row r="5" spans="1:5" x14ac:dyDescent="0.3">
      <c r="A5" s="2" t="s">
        <v>79</v>
      </c>
      <c r="B5" s="2" t="s">
        <v>72</v>
      </c>
      <c r="C5" s="2" t="s">
        <v>744</v>
      </c>
      <c r="D5" s="2" t="s">
        <v>745</v>
      </c>
      <c r="E5" s="2" t="s">
        <v>746</v>
      </c>
    </row>
    <row r="6" spans="1:5" x14ac:dyDescent="0.3">
      <c r="A6" s="2" t="s">
        <v>87</v>
      </c>
      <c r="B6" s="2" t="s">
        <v>72</v>
      </c>
      <c r="C6" s="2" t="s">
        <v>744</v>
      </c>
      <c r="D6" s="2" t="s">
        <v>745</v>
      </c>
      <c r="E6" s="2" t="s">
        <v>746</v>
      </c>
    </row>
    <row r="7" spans="1:5" x14ac:dyDescent="0.3">
      <c r="A7" s="2" t="s">
        <v>95</v>
      </c>
      <c r="B7" s="2" t="s">
        <v>79</v>
      </c>
      <c r="C7" s="2" t="s">
        <v>744</v>
      </c>
      <c r="D7" s="2" t="s">
        <v>745</v>
      </c>
      <c r="E7" s="2" t="s">
        <v>746</v>
      </c>
    </row>
    <row r="8" spans="1:5" x14ac:dyDescent="0.3">
      <c r="A8" s="2" t="s">
        <v>101</v>
      </c>
      <c r="B8" s="2" t="s">
        <v>95</v>
      </c>
      <c r="C8" s="2" t="s">
        <v>744</v>
      </c>
      <c r="D8" s="2" t="s">
        <v>745</v>
      </c>
      <c r="E8" s="2" t="s">
        <v>746</v>
      </c>
    </row>
    <row r="9" spans="1:5" x14ac:dyDescent="0.3">
      <c r="A9" s="2" t="s">
        <v>108</v>
      </c>
      <c r="B9" s="2" t="s">
        <v>101</v>
      </c>
      <c r="C9" s="2" t="s">
        <v>744</v>
      </c>
      <c r="D9" s="2" t="s">
        <v>745</v>
      </c>
      <c r="E9" s="2" t="s">
        <v>746</v>
      </c>
    </row>
    <row r="10" spans="1:5" x14ac:dyDescent="0.3">
      <c r="A10" s="2" t="s">
        <v>114</v>
      </c>
      <c r="B10" s="2" t="s">
        <v>108</v>
      </c>
      <c r="C10" s="2" t="s">
        <v>744</v>
      </c>
      <c r="D10" s="2" t="s">
        <v>745</v>
      </c>
      <c r="E10" s="2" t="s">
        <v>746</v>
      </c>
    </row>
    <row r="11" spans="1:5" x14ac:dyDescent="0.3">
      <c r="A11" s="2" t="s">
        <v>120</v>
      </c>
      <c r="B11" s="2" t="s">
        <v>101</v>
      </c>
      <c r="C11" s="2" t="s">
        <v>744</v>
      </c>
      <c r="D11" s="2" t="s">
        <v>745</v>
      </c>
      <c r="E11" s="2" t="s">
        <v>746</v>
      </c>
    </row>
    <row r="12" spans="1:5" x14ac:dyDescent="0.3">
      <c r="A12" s="2" t="s">
        <v>127</v>
      </c>
      <c r="B12" s="2" t="s">
        <v>72</v>
      </c>
      <c r="C12" s="2" t="s">
        <v>744</v>
      </c>
      <c r="D12" s="2" t="s">
        <v>745</v>
      </c>
      <c r="E12" s="2" t="s">
        <v>746</v>
      </c>
    </row>
    <row r="13" spans="1:5" x14ac:dyDescent="0.3">
      <c r="A13" s="2" t="s">
        <v>134</v>
      </c>
      <c r="B13" s="2" t="s">
        <v>127</v>
      </c>
      <c r="C13" s="2" t="s">
        <v>744</v>
      </c>
      <c r="D13" s="2" t="s">
        <v>745</v>
      </c>
      <c r="E13" s="2" t="s">
        <v>746</v>
      </c>
    </row>
    <row r="14" spans="1:5" x14ac:dyDescent="0.3">
      <c r="A14" s="2" t="s">
        <v>139</v>
      </c>
      <c r="B14" s="2" t="s">
        <v>101</v>
      </c>
      <c r="C14" s="2" t="s">
        <v>744</v>
      </c>
      <c r="D14" s="2" t="s">
        <v>745</v>
      </c>
      <c r="E14" s="2" t="s">
        <v>746</v>
      </c>
    </row>
    <row r="15" spans="1:5" x14ac:dyDescent="0.3">
      <c r="A15" s="2" t="s">
        <v>146</v>
      </c>
      <c r="B15" s="2" t="s">
        <v>47</v>
      </c>
      <c r="C15" s="2" t="s">
        <v>744</v>
      </c>
      <c r="D15" s="2" t="s">
        <v>745</v>
      </c>
      <c r="E15" s="2" t="s">
        <v>746</v>
      </c>
    </row>
    <row r="16" spans="1:5" x14ac:dyDescent="0.3">
      <c r="A16" s="2" t="s">
        <v>153</v>
      </c>
      <c r="B16" s="2" t="s">
        <v>146</v>
      </c>
      <c r="C16" s="2" t="s">
        <v>744</v>
      </c>
      <c r="D16" s="2" t="s">
        <v>745</v>
      </c>
      <c r="E16" s="2" t="s">
        <v>746</v>
      </c>
    </row>
    <row r="17" spans="1:5" x14ac:dyDescent="0.3">
      <c r="A17" s="2" t="s">
        <v>158</v>
      </c>
      <c r="B17" s="2" t="s">
        <v>153</v>
      </c>
      <c r="C17" s="2" t="s">
        <v>744</v>
      </c>
      <c r="D17" s="2" t="s">
        <v>745</v>
      </c>
      <c r="E17" s="2" t="s">
        <v>746</v>
      </c>
    </row>
    <row r="18" spans="1:5" x14ac:dyDescent="0.3">
      <c r="A18" s="2" t="s">
        <v>170</v>
      </c>
      <c r="B18" s="2" t="s">
        <v>164</v>
      </c>
      <c r="C18" s="2" t="s">
        <v>744</v>
      </c>
      <c r="D18" s="2" t="s">
        <v>745</v>
      </c>
      <c r="E18" s="2" t="s">
        <v>746</v>
      </c>
    </row>
    <row r="19" spans="1:5" x14ac:dyDescent="0.3">
      <c r="A19" s="2" t="s">
        <v>176</v>
      </c>
      <c r="B19" s="2" t="s">
        <v>170</v>
      </c>
      <c r="C19" s="2" t="s">
        <v>744</v>
      </c>
      <c r="D19" s="2" t="s">
        <v>745</v>
      </c>
      <c r="E19" s="2" t="s">
        <v>746</v>
      </c>
    </row>
    <row r="20" spans="1:5" x14ac:dyDescent="0.3">
      <c r="A20" s="2" t="s">
        <v>181</v>
      </c>
      <c r="B20" s="2" t="s">
        <v>108</v>
      </c>
      <c r="C20" s="2" t="s">
        <v>744</v>
      </c>
      <c r="D20" s="2" t="s">
        <v>745</v>
      </c>
      <c r="E20" s="2" t="s">
        <v>746</v>
      </c>
    </row>
    <row r="21" spans="1:5" x14ac:dyDescent="0.3">
      <c r="A21" s="2" t="s">
        <v>186</v>
      </c>
      <c r="B21" s="2" t="s">
        <v>181</v>
      </c>
      <c r="C21" s="2" t="s">
        <v>744</v>
      </c>
      <c r="D21" s="2" t="s">
        <v>745</v>
      </c>
      <c r="E21" s="2" t="s">
        <v>746</v>
      </c>
    </row>
    <row r="22" spans="1:5" x14ac:dyDescent="0.3">
      <c r="A22" s="2" t="s">
        <v>192</v>
      </c>
      <c r="B22" s="2" t="s">
        <v>101</v>
      </c>
      <c r="C22" s="2" t="s">
        <v>744</v>
      </c>
      <c r="D22" s="2" t="s">
        <v>745</v>
      </c>
      <c r="E22" s="2" t="s">
        <v>746</v>
      </c>
    </row>
    <row r="23" spans="1:5" x14ac:dyDescent="0.3">
      <c r="A23" s="2" t="s">
        <v>192</v>
      </c>
      <c r="B23" s="2" t="s">
        <v>186</v>
      </c>
      <c r="C23" s="2" t="s">
        <v>744</v>
      </c>
      <c r="D23" s="2" t="s">
        <v>745</v>
      </c>
      <c r="E23" s="2" t="s">
        <v>746</v>
      </c>
    </row>
    <row r="24" spans="1:5" x14ac:dyDescent="0.3">
      <c r="A24" s="2" t="s">
        <v>199</v>
      </c>
      <c r="B24" s="2" t="s">
        <v>192</v>
      </c>
      <c r="C24" s="2" t="s">
        <v>744</v>
      </c>
      <c r="D24" s="2" t="s">
        <v>745</v>
      </c>
      <c r="E24" s="2" t="s">
        <v>746</v>
      </c>
    </row>
    <row r="25" spans="1:5" x14ac:dyDescent="0.3">
      <c r="A25" s="2" t="s">
        <v>199</v>
      </c>
      <c r="B25" s="2" t="s">
        <v>95</v>
      </c>
      <c r="C25" s="2" t="s">
        <v>744</v>
      </c>
      <c r="D25" s="2" t="s">
        <v>745</v>
      </c>
      <c r="E25" s="2" t="s">
        <v>746</v>
      </c>
    </row>
    <row r="26" spans="1:5" x14ac:dyDescent="0.3">
      <c r="A26" s="2" t="s">
        <v>206</v>
      </c>
      <c r="B26" s="2" t="s">
        <v>199</v>
      </c>
      <c r="C26" s="2" t="s">
        <v>744</v>
      </c>
      <c r="D26" s="2" t="s">
        <v>745</v>
      </c>
      <c r="E26" s="2" t="s">
        <v>746</v>
      </c>
    </row>
    <row r="27" spans="1:5" x14ac:dyDescent="0.3">
      <c r="A27" s="2" t="s">
        <v>206</v>
      </c>
      <c r="B27" s="2" t="s">
        <v>139</v>
      </c>
      <c r="C27" s="2" t="s">
        <v>744</v>
      </c>
      <c r="D27" s="2" t="s">
        <v>745</v>
      </c>
      <c r="E27" s="2" t="s">
        <v>746</v>
      </c>
    </row>
    <row r="28" spans="1:5" x14ac:dyDescent="0.3">
      <c r="A28" s="2" t="s">
        <v>213</v>
      </c>
      <c r="B28" s="2" t="s">
        <v>127</v>
      </c>
      <c r="C28" s="2" t="s">
        <v>744</v>
      </c>
      <c r="D28" s="2" t="s">
        <v>745</v>
      </c>
      <c r="E28" s="2" t="s">
        <v>746</v>
      </c>
    </row>
    <row r="29" spans="1:5" x14ac:dyDescent="0.3">
      <c r="A29" s="2" t="s">
        <v>213</v>
      </c>
      <c r="B29" s="2" t="s">
        <v>134</v>
      </c>
      <c r="C29" s="2" t="s">
        <v>744</v>
      </c>
      <c r="D29" s="2" t="s">
        <v>745</v>
      </c>
      <c r="E29" s="2" t="s">
        <v>746</v>
      </c>
    </row>
    <row r="30" spans="1:5" x14ac:dyDescent="0.3">
      <c r="A30" s="2" t="s">
        <v>221</v>
      </c>
      <c r="B30" s="2" t="s">
        <v>206</v>
      </c>
      <c r="C30" s="2" t="s">
        <v>744</v>
      </c>
      <c r="D30" s="2" t="s">
        <v>745</v>
      </c>
      <c r="E30" s="2" t="s">
        <v>746</v>
      </c>
    </row>
    <row r="31" spans="1:5" x14ac:dyDescent="0.3">
      <c r="A31" s="2" t="s">
        <v>221</v>
      </c>
      <c r="B31" s="2" t="s">
        <v>213</v>
      </c>
      <c r="C31" s="2" t="s">
        <v>744</v>
      </c>
      <c r="D31" s="2" t="s">
        <v>745</v>
      </c>
      <c r="E31" s="2" t="s">
        <v>746</v>
      </c>
    </row>
    <row r="32" spans="1:5" x14ac:dyDescent="0.3">
      <c r="A32" s="2" t="s">
        <v>228</v>
      </c>
      <c r="B32" s="2" t="s">
        <v>176</v>
      </c>
      <c r="C32" s="2" t="s">
        <v>744</v>
      </c>
      <c r="D32" s="2" t="s">
        <v>745</v>
      </c>
      <c r="E32" s="2" t="s">
        <v>746</v>
      </c>
    </row>
    <row r="33" spans="1:5" x14ac:dyDescent="0.3">
      <c r="A33" s="2" t="s">
        <v>234</v>
      </c>
      <c r="B33" s="2" t="s">
        <v>228</v>
      </c>
      <c r="C33" s="2" t="s">
        <v>744</v>
      </c>
      <c r="D33" s="2" t="s">
        <v>745</v>
      </c>
      <c r="E33" s="2" t="s">
        <v>746</v>
      </c>
    </row>
    <row r="34" spans="1:5" x14ac:dyDescent="0.3">
      <c r="A34" s="2" t="s">
        <v>234</v>
      </c>
      <c r="B34" s="2" t="s">
        <v>747</v>
      </c>
      <c r="C34" s="2" t="s">
        <v>744</v>
      </c>
      <c r="D34" s="2" t="s">
        <v>745</v>
      </c>
      <c r="E34" s="2" t="s">
        <v>746</v>
      </c>
    </row>
    <row r="35" spans="1:5" x14ac:dyDescent="0.3">
      <c r="A35" s="2" t="s">
        <v>243</v>
      </c>
      <c r="B35" s="2" t="s">
        <v>72</v>
      </c>
      <c r="C35" s="2" t="s">
        <v>744</v>
      </c>
      <c r="D35" s="2" t="s">
        <v>745</v>
      </c>
      <c r="E35" s="2" t="s">
        <v>746</v>
      </c>
    </row>
    <row r="36" spans="1:5" x14ac:dyDescent="0.3">
      <c r="A36" s="2" t="s">
        <v>248</v>
      </c>
      <c r="B36" s="2" t="s">
        <v>87</v>
      </c>
      <c r="C36" s="2" t="s">
        <v>744</v>
      </c>
      <c r="D36" s="2" t="s">
        <v>745</v>
      </c>
      <c r="E36" s="2" t="s">
        <v>746</v>
      </c>
    </row>
    <row r="37" spans="1:5" x14ac:dyDescent="0.3">
      <c r="A37" s="2" t="s">
        <v>255</v>
      </c>
      <c r="B37" s="2" t="s">
        <v>146</v>
      </c>
      <c r="C37" s="2" t="s">
        <v>744</v>
      </c>
      <c r="D37" s="2" t="s">
        <v>745</v>
      </c>
      <c r="E37" s="2" t="s">
        <v>746</v>
      </c>
    </row>
    <row r="38" spans="1:5" x14ac:dyDescent="0.3">
      <c r="A38" s="2" t="s">
        <v>260</v>
      </c>
      <c r="B38" s="2" t="s">
        <v>255</v>
      </c>
      <c r="C38" s="2" t="s">
        <v>744</v>
      </c>
      <c r="D38" s="2" t="s">
        <v>745</v>
      </c>
      <c r="E38" s="2" t="s">
        <v>746</v>
      </c>
    </row>
    <row r="39" spans="1:5" x14ac:dyDescent="0.3">
      <c r="A39" s="2" t="s">
        <v>267</v>
      </c>
      <c r="B39" s="2" t="s">
        <v>255</v>
      </c>
      <c r="C39" s="2" t="s">
        <v>744</v>
      </c>
      <c r="D39" s="2" t="s">
        <v>745</v>
      </c>
      <c r="E39" s="2" t="s">
        <v>746</v>
      </c>
    </row>
    <row r="40" spans="1:5" x14ac:dyDescent="0.3">
      <c r="A40" s="2" t="s">
        <v>273</v>
      </c>
      <c r="B40" s="2" t="s">
        <v>248</v>
      </c>
      <c r="C40" s="2" t="s">
        <v>744</v>
      </c>
      <c r="D40" s="2" t="s">
        <v>745</v>
      </c>
      <c r="E40" s="2" t="s">
        <v>746</v>
      </c>
    </row>
    <row r="41" spans="1:5" x14ac:dyDescent="0.3">
      <c r="A41" s="2" t="s">
        <v>279</v>
      </c>
      <c r="B41" s="2" t="s">
        <v>273</v>
      </c>
      <c r="C41" s="2" t="s">
        <v>744</v>
      </c>
      <c r="D41" s="2" t="s">
        <v>745</v>
      </c>
      <c r="E41" s="2" t="s">
        <v>746</v>
      </c>
    </row>
    <row r="42" spans="1:5" x14ac:dyDescent="0.3">
      <c r="A42" s="2" t="s">
        <v>285</v>
      </c>
      <c r="B42" s="2" t="s">
        <v>248</v>
      </c>
      <c r="C42" s="2" t="s">
        <v>744</v>
      </c>
      <c r="D42" s="2" t="s">
        <v>745</v>
      </c>
      <c r="E42" s="2" t="s">
        <v>746</v>
      </c>
    </row>
    <row r="43" spans="1:5" x14ac:dyDescent="0.3">
      <c r="A43" s="2" t="s">
        <v>285</v>
      </c>
      <c r="B43" s="2" t="s">
        <v>279</v>
      </c>
      <c r="C43" s="2" t="s">
        <v>744</v>
      </c>
      <c r="D43" s="2" t="s">
        <v>745</v>
      </c>
      <c r="E43" s="2" t="s">
        <v>746</v>
      </c>
    </row>
    <row r="44" spans="1:5" x14ac:dyDescent="0.3">
      <c r="A44" s="2" t="s">
        <v>291</v>
      </c>
      <c r="B44" s="2" t="s">
        <v>228</v>
      </c>
      <c r="C44" s="2" t="s">
        <v>744</v>
      </c>
      <c r="D44" s="2" t="s">
        <v>745</v>
      </c>
      <c r="E44" s="2" t="s">
        <v>746</v>
      </c>
    </row>
    <row r="45" spans="1:5" x14ac:dyDescent="0.3">
      <c r="A45" s="2" t="s">
        <v>297</v>
      </c>
      <c r="B45" s="2" t="s">
        <v>291</v>
      </c>
      <c r="C45" s="2" t="s">
        <v>744</v>
      </c>
      <c r="D45" s="2" t="s">
        <v>745</v>
      </c>
      <c r="E45" s="2" t="s">
        <v>746</v>
      </c>
    </row>
    <row r="46" spans="1:5" x14ac:dyDescent="0.3">
      <c r="A46" s="2" t="s">
        <v>297</v>
      </c>
      <c r="B46" s="2" t="s">
        <v>243</v>
      </c>
      <c r="C46" s="2" t="s">
        <v>744</v>
      </c>
      <c r="D46" s="2" t="s">
        <v>745</v>
      </c>
      <c r="E46" s="2" t="s">
        <v>746</v>
      </c>
    </row>
    <row r="47" spans="1:5" x14ac:dyDescent="0.3">
      <c r="A47" s="2" t="s">
        <v>304</v>
      </c>
      <c r="B47" s="2" t="s">
        <v>273</v>
      </c>
      <c r="C47" s="2" t="s">
        <v>744</v>
      </c>
      <c r="D47" s="2" t="s">
        <v>745</v>
      </c>
      <c r="E47" s="2" t="s">
        <v>746</v>
      </c>
    </row>
    <row r="48" spans="1:5" x14ac:dyDescent="0.3">
      <c r="A48" s="2" t="s">
        <v>304</v>
      </c>
      <c r="B48" s="2" t="s">
        <v>267</v>
      </c>
      <c r="C48" s="2" t="s">
        <v>744</v>
      </c>
      <c r="D48" s="2" t="s">
        <v>745</v>
      </c>
      <c r="E48" s="2" t="s">
        <v>746</v>
      </c>
    </row>
    <row r="49" spans="1:5" x14ac:dyDescent="0.3">
      <c r="A49" s="2" t="s">
        <v>310</v>
      </c>
      <c r="B49" s="2" t="s">
        <v>273</v>
      </c>
      <c r="C49" s="2" t="s">
        <v>744</v>
      </c>
      <c r="D49" s="2" t="s">
        <v>745</v>
      </c>
      <c r="E49" s="2" t="s">
        <v>746</v>
      </c>
    </row>
    <row r="50" spans="1:5" x14ac:dyDescent="0.3">
      <c r="A50" s="2" t="s">
        <v>310</v>
      </c>
      <c r="B50" s="2" t="s">
        <v>260</v>
      </c>
      <c r="C50" s="2" t="s">
        <v>744</v>
      </c>
      <c r="D50" s="2" t="s">
        <v>745</v>
      </c>
      <c r="E50" s="2" t="s">
        <v>746</v>
      </c>
    </row>
    <row r="51" spans="1:5" x14ac:dyDescent="0.3">
      <c r="A51" s="2" t="s">
        <v>317</v>
      </c>
      <c r="B51" s="2" t="s">
        <v>310</v>
      </c>
      <c r="C51" s="2" t="s">
        <v>744</v>
      </c>
      <c r="D51" s="2" t="s">
        <v>745</v>
      </c>
      <c r="E51" s="2" t="s">
        <v>746</v>
      </c>
    </row>
    <row r="52" spans="1:5" x14ac:dyDescent="0.3">
      <c r="A52" s="2" t="s">
        <v>317</v>
      </c>
      <c r="B52" s="2" t="s">
        <v>267</v>
      </c>
      <c r="C52" s="2" t="s">
        <v>744</v>
      </c>
      <c r="D52" s="2" t="s">
        <v>745</v>
      </c>
      <c r="E52" s="2" t="s">
        <v>746</v>
      </c>
    </row>
    <row r="53" spans="1:5" x14ac:dyDescent="0.3">
      <c r="A53" s="2" t="s">
        <v>324</v>
      </c>
      <c r="B53" s="2" t="s">
        <v>267</v>
      </c>
      <c r="C53" s="2" t="s">
        <v>744</v>
      </c>
      <c r="D53" s="2" t="s">
        <v>745</v>
      </c>
      <c r="E53" s="2" t="s">
        <v>746</v>
      </c>
    </row>
    <row r="54" spans="1:5" x14ac:dyDescent="0.3">
      <c r="A54" s="2" t="s">
        <v>324</v>
      </c>
      <c r="B54" s="2" t="s">
        <v>221</v>
      </c>
      <c r="C54" s="2" t="s">
        <v>744</v>
      </c>
      <c r="D54" s="2" t="s">
        <v>745</v>
      </c>
      <c r="E54" s="2" t="s">
        <v>746</v>
      </c>
    </row>
    <row r="55" spans="1:5" x14ac:dyDescent="0.3">
      <c r="A55" s="2" t="s">
        <v>333</v>
      </c>
      <c r="B55" s="2" t="s">
        <v>297</v>
      </c>
      <c r="C55" s="2" t="s">
        <v>744</v>
      </c>
      <c r="D55" s="2" t="s">
        <v>745</v>
      </c>
      <c r="E55" s="2" t="s">
        <v>746</v>
      </c>
    </row>
    <row r="56" spans="1:5" x14ac:dyDescent="0.3">
      <c r="A56" s="2" t="s">
        <v>333</v>
      </c>
      <c r="B56" s="2" t="s">
        <v>304</v>
      </c>
      <c r="C56" s="2" t="s">
        <v>744</v>
      </c>
      <c r="D56" s="2" t="s">
        <v>745</v>
      </c>
      <c r="E56" s="2" t="s">
        <v>746</v>
      </c>
    </row>
    <row r="57" spans="1:5" x14ac:dyDescent="0.3">
      <c r="A57" s="2" t="s">
        <v>339</v>
      </c>
      <c r="B57" s="2" t="s">
        <v>333</v>
      </c>
      <c r="C57" s="2" t="s">
        <v>744</v>
      </c>
      <c r="D57" s="2" t="s">
        <v>745</v>
      </c>
      <c r="E57" s="2" t="s">
        <v>746</v>
      </c>
    </row>
    <row r="58" spans="1:5" x14ac:dyDescent="0.3">
      <c r="A58" s="2" t="s">
        <v>339</v>
      </c>
      <c r="B58" s="2" t="s">
        <v>310</v>
      </c>
      <c r="C58" s="2" t="s">
        <v>744</v>
      </c>
      <c r="D58" s="2" t="s">
        <v>745</v>
      </c>
      <c r="E58" s="2" t="s">
        <v>746</v>
      </c>
    </row>
    <row r="59" spans="1:5" x14ac:dyDescent="0.3">
      <c r="A59" s="2" t="s">
        <v>345</v>
      </c>
      <c r="B59" s="2" t="s">
        <v>339</v>
      </c>
      <c r="C59" s="2" t="s">
        <v>744</v>
      </c>
      <c r="D59" s="2" t="s">
        <v>745</v>
      </c>
      <c r="E59" s="2" t="s">
        <v>746</v>
      </c>
    </row>
    <row r="60" spans="1:5" x14ac:dyDescent="0.3">
      <c r="A60" s="2" t="s">
        <v>345</v>
      </c>
      <c r="B60" s="2" t="s">
        <v>324</v>
      </c>
      <c r="C60" s="2" t="s">
        <v>744</v>
      </c>
      <c r="D60" s="2" t="s">
        <v>745</v>
      </c>
      <c r="E60" s="2" t="s">
        <v>746</v>
      </c>
    </row>
    <row r="61" spans="1:5" x14ac:dyDescent="0.3">
      <c r="A61" s="2" t="s">
        <v>352</v>
      </c>
      <c r="B61" s="2" t="s">
        <v>267</v>
      </c>
      <c r="C61" s="2" t="s">
        <v>744</v>
      </c>
      <c r="D61" s="2" t="s">
        <v>745</v>
      </c>
      <c r="E61" s="2" t="s">
        <v>746</v>
      </c>
    </row>
    <row r="62" spans="1:5" x14ac:dyDescent="0.3">
      <c r="A62" s="2" t="s">
        <v>352</v>
      </c>
      <c r="B62" s="2" t="s">
        <v>317</v>
      </c>
      <c r="C62" s="2" t="s">
        <v>744</v>
      </c>
      <c r="D62" s="2" t="s">
        <v>745</v>
      </c>
      <c r="E62" s="2" t="s">
        <v>746</v>
      </c>
    </row>
    <row r="63" spans="1:5" x14ac:dyDescent="0.3">
      <c r="A63" s="2" t="s">
        <v>352</v>
      </c>
      <c r="B63" s="2" t="s">
        <v>345</v>
      </c>
      <c r="C63" s="2" t="s">
        <v>744</v>
      </c>
      <c r="D63" s="2" t="s">
        <v>745</v>
      </c>
      <c r="E63" s="2" t="s">
        <v>746</v>
      </c>
    </row>
    <row r="64" spans="1:5" x14ac:dyDescent="0.3">
      <c r="A64" s="2" t="s">
        <v>358</v>
      </c>
      <c r="B64" s="2" t="s">
        <v>352</v>
      </c>
      <c r="C64" s="2" t="s">
        <v>744</v>
      </c>
      <c r="D64" s="2" t="s">
        <v>745</v>
      </c>
      <c r="E64" s="2" t="s">
        <v>746</v>
      </c>
    </row>
    <row r="65" spans="1:5" x14ac:dyDescent="0.3">
      <c r="A65" s="2" t="s">
        <v>358</v>
      </c>
      <c r="B65" s="2" t="s">
        <v>317</v>
      </c>
      <c r="C65" s="2" t="s">
        <v>744</v>
      </c>
      <c r="D65" s="2" t="s">
        <v>745</v>
      </c>
      <c r="E65" s="2" t="s">
        <v>746</v>
      </c>
    </row>
    <row r="66" spans="1:5" x14ac:dyDescent="0.3">
      <c r="A66" s="2" t="s">
        <v>364</v>
      </c>
      <c r="B66" s="2" t="s">
        <v>358</v>
      </c>
      <c r="C66" s="2" t="s">
        <v>744</v>
      </c>
      <c r="D66" s="2" t="s">
        <v>745</v>
      </c>
      <c r="E66" s="2" t="s">
        <v>746</v>
      </c>
    </row>
    <row r="67" spans="1:5" x14ac:dyDescent="0.3">
      <c r="A67" s="2" t="s">
        <v>364</v>
      </c>
      <c r="B67" s="2" t="s">
        <v>304</v>
      </c>
      <c r="C67" s="2" t="s">
        <v>744</v>
      </c>
      <c r="D67" s="2" t="s">
        <v>745</v>
      </c>
      <c r="E67" s="2" t="s">
        <v>746</v>
      </c>
    </row>
    <row r="68" spans="1:5" x14ac:dyDescent="0.3">
      <c r="A68" s="2" t="s">
        <v>364</v>
      </c>
      <c r="B68" s="2" t="s">
        <v>310</v>
      </c>
      <c r="C68" s="2" t="s">
        <v>744</v>
      </c>
      <c r="D68" s="2" t="s">
        <v>745</v>
      </c>
      <c r="E68" s="2" t="s">
        <v>746</v>
      </c>
    </row>
    <row r="69" spans="1:5" x14ac:dyDescent="0.3">
      <c r="A69" s="2" t="s">
        <v>371</v>
      </c>
      <c r="B69" s="2" t="s">
        <v>364</v>
      </c>
      <c r="C69" s="2" t="s">
        <v>744</v>
      </c>
      <c r="D69" s="2" t="s">
        <v>745</v>
      </c>
      <c r="E69" s="2" t="s">
        <v>746</v>
      </c>
    </row>
    <row r="70" spans="1:5" x14ac:dyDescent="0.3">
      <c r="A70" s="2" t="s">
        <v>371</v>
      </c>
      <c r="B70" s="2" t="s">
        <v>304</v>
      </c>
      <c r="C70" s="2" t="s">
        <v>744</v>
      </c>
      <c r="D70" s="2" t="s">
        <v>745</v>
      </c>
      <c r="E70" s="2" t="s">
        <v>746</v>
      </c>
    </row>
    <row r="71" spans="1:5" x14ac:dyDescent="0.3">
      <c r="A71" s="2" t="s">
        <v>378</v>
      </c>
      <c r="B71" s="2" t="s">
        <v>310</v>
      </c>
      <c r="C71" s="2" t="s">
        <v>744</v>
      </c>
      <c r="D71" s="2" t="s">
        <v>745</v>
      </c>
      <c r="E71" s="2" t="s">
        <v>746</v>
      </c>
    </row>
    <row r="72" spans="1:5" x14ac:dyDescent="0.3">
      <c r="A72" s="2" t="s">
        <v>378</v>
      </c>
      <c r="B72" s="2" t="s">
        <v>339</v>
      </c>
      <c r="C72" s="2" t="s">
        <v>744</v>
      </c>
      <c r="D72" s="2" t="s">
        <v>745</v>
      </c>
      <c r="E72" s="2" t="s">
        <v>746</v>
      </c>
    </row>
    <row r="73" spans="1:5" x14ac:dyDescent="0.3">
      <c r="A73" s="2" t="s">
        <v>384</v>
      </c>
      <c r="B73" s="2" t="s">
        <v>310</v>
      </c>
      <c r="C73" s="2" t="s">
        <v>744</v>
      </c>
      <c r="D73" s="2" t="s">
        <v>745</v>
      </c>
      <c r="E73" s="2" t="s">
        <v>746</v>
      </c>
    </row>
    <row r="74" spans="1:5" x14ac:dyDescent="0.3">
      <c r="A74" s="2" t="s">
        <v>384</v>
      </c>
      <c r="B74" s="2" t="s">
        <v>317</v>
      </c>
      <c r="C74" s="2" t="s">
        <v>744</v>
      </c>
      <c r="D74" s="2" t="s">
        <v>745</v>
      </c>
      <c r="E74" s="2" t="s">
        <v>746</v>
      </c>
    </row>
    <row r="75" spans="1:5" x14ac:dyDescent="0.3">
      <c r="A75" s="2" t="s">
        <v>384</v>
      </c>
      <c r="B75" s="2" t="s">
        <v>339</v>
      </c>
      <c r="C75" s="2" t="s">
        <v>744</v>
      </c>
      <c r="D75" s="2" t="s">
        <v>745</v>
      </c>
      <c r="E75" s="2" t="s">
        <v>746</v>
      </c>
    </row>
    <row r="76" spans="1:5" x14ac:dyDescent="0.3">
      <c r="A76" s="2" t="s">
        <v>392</v>
      </c>
      <c r="B76" s="2" t="s">
        <v>285</v>
      </c>
      <c r="C76" s="2" t="s">
        <v>744</v>
      </c>
      <c r="D76" s="2" t="s">
        <v>745</v>
      </c>
      <c r="E76" s="2" t="s">
        <v>746</v>
      </c>
    </row>
    <row r="77" spans="1:5" x14ac:dyDescent="0.3">
      <c r="A77" s="2" t="s">
        <v>392</v>
      </c>
      <c r="B77" s="2" t="s">
        <v>279</v>
      </c>
      <c r="C77" s="2" t="s">
        <v>744</v>
      </c>
      <c r="D77" s="2" t="s">
        <v>745</v>
      </c>
      <c r="E77" s="2" t="s">
        <v>746</v>
      </c>
    </row>
    <row r="78" spans="1:5" x14ac:dyDescent="0.3">
      <c r="A78" s="2" t="s">
        <v>392</v>
      </c>
      <c r="B78" s="2" t="s">
        <v>384</v>
      </c>
      <c r="C78" s="2" t="s">
        <v>744</v>
      </c>
      <c r="D78" s="2" t="s">
        <v>745</v>
      </c>
      <c r="E78" s="2" t="s">
        <v>746</v>
      </c>
    </row>
    <row r="79" spans="1:5" x14ac:dyDescent="0.3">
      <c r="A79" s="2" t="s">
        <v>398</v>
      </c>
      <c r="B79" s="2" t="s">
        <v>279</v>
      </c>
      <c r="C79" s="2" t="s">
        <v>744</v>
      </c>
      <c r="D79" s="2" t="s">
        <v>745</v>
      </c>
      <c r="E79" s="2" t="s">
        <v>746</v>
      </c>
    </row>
    <row r="80" spans="1:5" x14ac:dyDescent="0.3">
      <c r="A80" s="2" t="s">
        <v>398</v>
      </c>
      <c r="B80" s="2" t="s">
        <v>392</v>
      </c>
      <c r="C80" s="2" t="s">
        <v>744</v>
      </c>
      <c r="D80" s="2" t="s">
        <v>745</v>
      </c>
      <c r="E80" s="2" t="s">
        <v>746</v>
      </c>
    </row>
    <row r="81" spans="1:5" x14ac:dyDescent="0.3">
      <c r="A81" s="2" t="s">
        <v>404</v>
      </c>
      <c r="B81" s="2" t="s">
        <v>398</v>
      </c>
      <c r="C81" s="2" t="s">
        <v>744</v>
      </c>
      <c r="D81" s="2" t="s">
        <v>745</v>
      </c>
      <c r="E81" s="2" t="s">
        <v>746</v>
      </c>
    </row>
    <row r="82" spans="1:5" x14ac:dyDescent="0.3">
      <c r="A82" s="2" t="s">
        <v>409</v>
      </c>
      <c r="B82" s="2" t="s">
        <v>404</v>
      </c>
      <c r="C82" s="2" t="s">
        <v>744</v>
      </c>
      <c r="D82" s="2" t="s">
        <v>745</v>
      </c>
      <c r="E82" s="2" t="s">
        <v>746</v>
      </c>
    </row>
    <row r="83" spans="1:5" x14ac:dyDescent="0.3">
      <c r="A83" s="2" t="s">
        <v>409</v>
      </c>
      <c r="B83" s="2" t="s">
        <v>273</v>
      </c>
      <c r="C83" s="2" t="s">
        <v>744</v>
      </c>
      <c r="D83" s="2" t="s">
        <v>745</v>
      </c>
      <c r="E83" s="2" t="s">
        <v>746</v>
      </c>
    </row>
    <row r="84" spans="1:5" x14ac:dyDescent="0.3">
      <c r="A84" s="2" t="s">
        <v>415</v>
      </c>
      <c r="B84" s="2" t="s">
        <v>378</v>
      </c>
      <c r="C84" s="2" t="s">
        <v>744</v>
      </c>
      <c r="D84" s="2" t="s">
        <v>745</v>
      </c>
      <c r="E84" s="2" t="s">
        <v>746</v>
      </c>
    </row>
    <row r="85" spans="1:5" x14ac:dyDescent="0.3">
      <c r="A85" s="2" t="s">
        <v>415</v>
      </c>
      <c r="B85" s="2" t="s">
        <v>221</v>
      </c>
      <c r="C85" s="2" t="s">
        <v>744</v>
      </c>
      <c r="D85" s="2" t="s">
        <v>745</v>
      </c>
      <c r="E85" s="2" t="s">
        <v>746</v>
      </c>
    </row>
    <row r="86" spans="1:5" x14ac:dyDescent="0.3">
      <c r="A86" s="2" t="s">
        <v>421</v>
      </c>
      <c r="B86" s="2" t="s">
        <v>409</v>
      </c>
      <c r="C86" s="2" t="s">
        <v>744</v>
      </c>
      <c r="D86" s="2" t="s">
        <v>745</v>
      </c>
      <c r="E86" s="2" t="s">
        <v>746</v>
      </c>
    </row>
    <row r="87" spans="1:5" x14ac:dyDescent="0.3">
      <c r="A87" s="2" t="s">
        <v>421</v>
      </c>
      <c r="B87" s="2" t="s">
        <v>415</v>
      </c>
      <c r="C87" s="2" t="s">
        <v>744</v>
      </c>
      <c r="D87" s="2" t="s">
        <v>745</v>
      </c>
      <c r="E87" s="2" t="s">
        <v>746</v>
      </c>
    </row>
    <row r="88" spans="1:5" x14ac:dyDescent="0.3">
      <c r="A88" s="2" t="s">
        <v>428</v>
      </c>
      <c r="B88" s="2" t="s">
        <v>392</v>
      </c>
      <c r="C88" s="2" t="s">
        <v>744</v>
      </c>
      <c r="D88" s="2" t="s">
        <v>745</v>
      </c>
      <c r="E88" s="2" t="s">
        <v>746</v>
      </c>
    </row>
    <row r="89" spans="1:5" x14ac:dyDescent="0.3">
      <c r="A89" s="2" t="s">
        <v>434</v>
      </c>
      <c r="B89" s="2" t="s">
        <v>392</v>
      </c>
      <c r="C89" s="2" t="s">
        <v>744</v>
      </c>
      <c r="D89" s="2" t="s">
        <v>745</v>
      </c>
      <c r="E89" s="2" t="s">
        <v>746</v>
      </c>
    </row>
    <row r="90" spans="1:5" x14ac:dyDescent="0.3">
      <c r="A90" s="2" t="s">
        <v>439</v>
      </c>
      <c r="B90" s="2" t="s">
        <v>333</v>
      </c>
      <c r="C90" s="2" t="s">
        <v>744</v>
      </c>
      <c r="D90" s="2" t="s">
        <v>745</v>
      </c>
      <c r="E90" s="2" t="s">
        <v>746</v>
      </c>
    </row>
    <row r="91" spans="1:5" x14ac:dyDescent="0.3">
      <c r="A91" s="2" t="s">
        <v>439</v>
      </c>
      <c r="B91" s="2" t="s">
        <v>339</v>
      </c>
      <c r="C91" s="2" t="s">
        <v>744</v>
      </c>
      <c r="D91" s="2" t="s">
        <v>745</v>
      </c>
      <c r="E91" s="2" t="s">
        <v>746</v>
      </c>
    </row>
    <row r="92" spans="1:5" x14ac:dyDescent="0.3">
      <c r="A92" s="2" t="s">
        <v>439</v>
      </c>
      <c r="B92" s="2" t="s">
        <v>352</v>
      </c>
      <c r="C92" s="2" t="s">
        <v>744</v>
      </c>
      <c r="D92" s="2" t="s">
        <v>745</v>
      </c>
      <c r="E92" s="2" t="s">
        <v>746</v>
      </c>
    </row>
    <row r="93" spans="1:5" x14ac:dyDescent="0.3">
      <c r="A93" s="2" t="s">
        <v>439</v>
      </c>
      <c r="B93" s="2" t="s">
        <v>371</v>
      </c>
      <c r="C93" s="2" t="s">
        <v>744</v>
      </c>
      <c r="D93" s="2" t="s">
        <v>745</v>
      </c>
      <c r="E93" s="2" t="s">
        <v>746</v>
      </c>
    </row>
    <row r="94" spans="1:5" x14ac:dyDescent="0.3">
      <c r="A94" s="2" t="s">
        <v>446</v>
      </c>
      <c r="B94" s="2" t="s">
        <v>421</v>
      </c>
      <c r="C94" s="2" t="s">
        <v>744</v>
      </c>
      <c r="D94" s="2" t="s">
        <v>745</v>
      </c>
      <c r="E94" s="2" t="s">
        <v>746</v>
      </c>
    </row>
    <row r="95" spans="1:5" x14ac:dyDescent="0.3">
      <c r="A95" s="2" t="s">
        <v>446</v>
      </c>
      <c r="B95" s="2" t="s">
        <v>428</v>
      </c>
      <c r="C95" s="2" t="s">
        <v>744</v>
      </c>
      <c r="D95" s="2" t="s">
        <v>745</v>
      </c>
      <c r="E95" s="2" t="s">
        <v>746</v>
      </c>
    </row>
    <row r="96" spans="1:5" x14ac:dyDescent="0.3">
      <c r="A96" s="2" t="s">
        <v>446</v>
      </c>
      <c r="B96" s="2" t="s">
        <v>434</v>
      </c>
      <c r="C96" s="2" t="s">
        <v>744</v>
      </c>
      <c r="D96" s="2" t="s">
        <v>745</v>
      </c>
      <c r="E96" s="2" t="s">
        <v>746</v>
      </c>
    </row>
    <row r="97" spans="1:5" x14ac:dyDescent="0.3">
      <c r="A97" s="2" t="s">
        <v>446</v>
      </c>
      <c r="B97" s="2" t="s">
        <v>439</v>
      </c>
      <c r="C97" s="2" t="s">
        <v>744</v>
      </c>
      <c r="D97" s="2" t="s">
        <v>745</v>
      </c>
      <c r="E97" s="2" t="s">
        <v>746</v>
      </c>
    </row>
    <row r="98" spans="1:5" x14ac:dyDescent="0.3">
      <c r="A98" s="2" t="s">
        <v>452</v>
      </c>
      <c r="B98" s="2" t="s">
        <v>221</v>
      </c>
      <c r="C98" s="2" t="s">
        <v>744</v>
      </c>
      <c r="D98" s="2" t="s">
        <v>745</v>
      </c>
      <c r="E98" s="2" t="s">
        <v>746</v>
      </c>
    </row>
    <row r="99" spans="1:5" x14ac:dyDescent="0.3">
      <c r="A99" s="2" t="s">
        <v>452</v>
      </c>
      <c r="B99" s="2" t="s">
        <v>446</v>
      </c>
      <c r="C99" s="2" t="s">
        <v>744</v>
      </c>
      <c r="D99" s="2" t="s">
        <v>745</v>
      </c>
      <c r="E99" s="2" t="s">
        <v>746</v>
      </c>
    </row>
    <row r="100" spans="1:5" x14ac:dyDescent="0.3">
      <c r="A100" s="2" t="s">
        <v>459</v>
      </c>
      <c r="B100" s="2" t="s">
        <v>452</v>
      </c>
      <c r="C100" s="2" t="s">
        <v>744</v>
      </c>
      <c r="D100" s="2" t="s">
        <v>745</v>
      </c>
      <c r="E100" s="2" t="s">
        <v>746</v>
      </c>
    </row>
    <row r="101" spans="1:5" x14ac:dyDescent="0.3">
      <c r="A101" s="2" t="s">
        <v>464</v>
      </c>
      <c r="B101" s="2" t="s">
        <v>452</v>
      </c>
      <c r="C101" s="2" t="s">
        <v>744</v>
      </c>
      <c r="D101" s="2" t="s">
        <v>745</v>
      </c>
      <c r="E101" s="2" t="s">
        <v>746</v>
      </c>
    </row>
    <row r="102" spans="1:5" x14ac:dyDescent="0.3">
      <c r="A102" s="2" t="s">
        <v>464</v>
      </c>
      <c r="B102" s="2" t="s">
        <v>352</v>
      </c>
      <c r="C102" s="2" t="s">
        <v>744</v>
      </c>
      <c r="D102" s="2" t="s">
        <v>745</v>
      </c>
      <c r="E102" s="2" t="s">
        <v>746</v>
      </c>
    </row>
    <row r="103" spans="1:5" x14ac:dyDescent="0.3">
      <c r="A103" s="2" t="s">
        <v>464</v>
      </c>
      <c r="B103" s="2" t="s">
        <v>371</v>
      </c>
      <c r="C103" s="2" t="s">
        <v>744</v>
      </c>
      <c r="D103" s="2" t="s">
        <v>745</v>
      </c>
      <c r="E103" s="2" t="s">
        <v>746</v>
      </c>
    </row>
    <row r="104" spans="1:5" x14ac:dyDescent="0.3">
      <c r="A104" s="2" t="s">
        <v>470</v>
      </c>
      <c r="B104" s="2" t="s">
        <v>333</v>
      </c>
      <c r="C104" s="2" t="s">
        <v>744</v>
      </c>
      <c r="D104" s="2" t="s">
        <v>745</v>
      </c>
      <c r="E104" s="2" t="s">
        <v>746</v>
      </c>
    </row>
    <row r="105" spans="1:5" x14ac:dyDescent="0.3">
      <c r="A105" s="2" t="s">
        <v>470</v>
      </c>
      <c r="B105" s="2" t="s">
        <v>339</v>
      </c>
      <c r="C105" s="2" t="s">
        <v>744</v>
      </c>
      <c r="D105" s="2" t="s">
        <v>745</v>
      </c>
      <c r="E105" s="2" t="s">
        <v>746</v>
      </c>
    </row>
    <row r="106" spans="1:5" x14ac:dyDescent="0.3">
      <c r="A106" s="2" t="s">
        <v>470</v>
      </c>
      <c r="B106" s="2" t="s">
        <v>324</v>
      </c>
      <c r="C106" s="2" t="s">
        <v>744</v>
      </c>
      <c r="D106" s="2" t="s">
        <v>745</v>
      </c>
      <c r="E106" s="2" t="s">
        <v>746</v>
      </c>
    </row>
    <row r="107" spans="1:5" x14ac:dyDescent="0.3">
      <c r="A107" s="2" t="s">
        <v>477</v>
      </c>
      <c r="B107" s="2" t="s">
        <v>485</v>
      </c>
      <c r="C107" s="2" t="s">
        <v>744</v>
      </c>
      <c r="D107" s="2" t="s">
        <v>745</v>
      </c>
      <c r="E107" s="2" t="s">
        <v>746</v>
      </c>
    </row>
    <row r="108" spans="1:5" x14ac:dyDescent="0.3">
      <c r="A108" s="2" t="s">
        <v>477</v>
      </c>
      <c r="B108" s="2" t="s">
        <v>358</v>
      </c>
      <c r="C108" s="2" t="s">
        <v>744</v>
      </c>
      <c r="D108" s="2" t="s">
        <v>745</v>
      </c>
      <c r="E108" s="2" t="s">
        <v>746</v>
      </c>
    </row>
    <row r="109" spans="1:5" x14ac:dyDescent="0.3">
      <c r="A109" s="2" t="s">
        <v>485</v>
      </c>
      <c r="B109" s="2" t="s">
        <v>260</v>
      </c>
      <c r="C109" s="2" t="s">
        <v>744</v>
      </c>
      <c r="D109" s="2" t="s">
        <v>745</v>
      </c>
      <c r="E109" s="2" t="s">
        <v>746</v>
      </c>
    </row>
    <row r="110" spans="1:5" x14ac:dyDescent="0.3">
      <c r="A110" s="2" t="s">
        <v>485</v>
      </c>
      <c r="B110" s="2" t="s">
        <v>267</v>
      </c>
      <c r="C110" s="2" t="s">
        <v>744</v>
      </c>
      <c r="D110" s="2" t="s">
        <v>745</v>
      </c>
      <c r="E110" s="2" t="s">
        <v>746</v>
      </c>
    </row>
    <row r="111" spans="1:5" x14ac:dyDescent="0.3">
      <c r="A111" s="2" t="s">
        <v>492</v>
      </c>
      <c r="B111" s="2" t="s">
        <v>485</v>
      </c>
      <c r="C111" s="2" t="s">
        <v>744</v>
      </c>
      <c r="D111" s="2" t="s">
        <v>745</v>
      </c>
      <c r="E111" s="2" t="s">
        <v>746</v>
      </c>
    </row>
    <row r="112" spans="1:5" x14ac:dyDescent="0.3">
      <c r="A112" s="2" t="s">
        <v>492</v>
      </c>
      <c r="B112" s="2" t="s">
        <v>352</v>
      </c>
      <c r="C112" s="2" t="s">
        <v>744</v>
      </c>
      <c r="D112" s="2" t="s">
        <v>745</v>
      </c>
      <c r="E112" s="2" t="s">
        <v>746</v>
      </c>
    </row>
    <row r="113" spans="1:5" x14ac:dyDescent="0.3">
      <c r="A113" s="2" t="s">
        <v>492</v>
      </c>
      <c r="B113" s="2" t="s">
        <v>371</v>
      </c>
      <c r="C113" s="2" t="s">
        <v>744</v>
      </c>
      <c r="D113" s="2" t="s">
        <v>745</v>
      </c>
      <c r="E113" s="2" t="s">
        <v>746</v>
      </c>
    </row>
    <row r="114" spans="1:5" x14ac:dyDescent="0.3">
      <c r="A114" s="2" t="s">
        <v>499</v>
      </c>
      <c r="B114" s="2" t="s">
        <v>333</v>
      </c>
      <c r="C114" s="2" t="s">
        <v>744</v>
      </c>
      <c r="D114" s="2" t="s">
        <v>745</v>
      </c>
      <c r="E114" s="2" t="s">
        <v>746</v>
      </c>
    </row>
    <row r="115" spans="1:5" x14ac:dyDescent="0.3">
      <c r="A115" s="2" t="s">
        <v>499</v>
      </c>
      <c r="B115" s="2" t="s">
        <v>324</v>
      </c>
      <c r="C115" s="2" t="s">
        <v>744</v>
      </c>
      <c r="D115" s="2" t="s">
        <v>745</v>
      </c>
      <c r="E115" s="2" t="s">
        <v>746</v>
      </c>
    </row>
    <row r="116" spans="1:5" x14ac:dyDescent="0.3">
      <c r="A116" s="2" t="s">
        <v>507</v>
      </c>
      <c r="B116" s="2" t="s">
        <v>499</v>
      </c>
      <c r="C116" s="2" t="s">
        <v>744</v>
      </c>
      <c r="D116" s="2" t="s">
        <v>745</v>
      </c>
      <c r="E116" s="2" t="s">
        <v>746</v>
      </c>
    </row>
    <row r="117" spans="1:5" x14ac:dyDescent="0.3">
      <c r="A117" s="2" t="s">
        <v>507</v>
      </c>
      <c r="B117" s="2" t="s">
        <v>324</v>
      </c>
      <c r="C117" s="2" t="s">
        <v>744</v>
      </c>
      <c r="D117" s="2" t="s">
        <v>745</v>
      </c>
      <c r="E117" s="2" t="s">
        <v>746</v>
      </c>
    </row>
    <row r="118" spans="1:5" x14ac:dyDescent="0.3">
      <c r="A118" s="2" t="s">
        <v>513</v>
      </c>
      <c r="B118" s="2" t="s">
        <v>464</v>
      </c>
      <c r="C118" s="2" t="s">
        <v>744</v>
      </c>
      <c r="D118" s="2" t="s">
        <v>745</v>
      </c>
      <c r="E118" s="2" t="s">
        <v>746</v>
      </c>
    </row>
    <row r="119" spans="1:5" x14ac:dyDescent="0.3">
      <c r="A119" s="2" t="s">
        <v>513</v>
      </c>
      <c r="B119" s="2" t="s">
        <v>470</v>
      </c>
      <c r="C119" s="2" t="s">
        <v>744</v>
      </c>
      <c r="D119" s="2" t="s">
        <v>745</v>
      </c>
      <c r="E119" s="2" t="s">
        <v>746</v>
      </c>
    </row>
    <row r="120" spans="1:5" x14ac:dyDescent="0.3">
      <c r="A120" s="2" t="s">
        <v>513</v>
      </c>
      <c r="B120" s="2" t="s">
        <v>492</v>
      </c>
      <c r="C120" s="2" t="s">
        <v>744</v>
      </c>
      <c r="D120" s="2" t="s">
        <v>745</v>
      </c>
      <c r="E120" s="2" t="s">
        <v>746</v>
      </c>
    </row>
    <row r="121" spans="1:5" x14ac:dyDescent="0.3">
      <c r="A121" s="2" t="s">
        <v>519</v>
      </c>
      <c r="B121" s="2" t="s">
        <v>513</v>
      </c>
      <c r="C121" s="2" t="s">
        <v>744</v>
      </c>
      <c r="D121" s="2" t="s">
        <v>745</v>
      </c>
      <c r="E121" s="2" t="s">
        <v>746</v>
      </c>
    </row>
    <row r="122" spans="1:5" x14ac:dyDescent="0.3">
      <c r="A122" s="2" t="s">
        <v>519</v>
      </c>
      <c r="B122" s="2" t="s">
        <v>492</v>
      </c>
      <c r="C122" s="2" t="s">
        <v>744</v>
      </c>
      <c r="D122" s="2" t="s">
        <v>745</v>
      </c>
      <c r="E122" s="2" t="s">
        <v>746</v>
      </c>
    </row>
    <row r="123" spans="1:5" x14ac:dyDescent="0.3">
      <c r="A123" s="2" t="s">
        <v>526</v>
      </c>
      <c r="B123" s="2" t="s">
        <v>513</v>
      </c>
      <c r="C123" s="2" t="s">
        <v>744</v>
      </c>
      <c r="D123" s="2" t="s">
        <v>745</v>
      </c>
      <c r="E123" s="2" t="s">
        <v>746</v>
      </c>
    </row>
    <row r="124" spans="1:5" x14ac:dyDescent="0.3">
      <c r="A124" s="2" t="s">
        <v>526</v>
      </c>
      <c r="B124" s="2" t="s">
        <v>428</v>
      </c>
      <c r="C124" s="2" t="s">
        <v>744</v>
      </c>
      <c r="D124" s="2" t="s">
        <v>745</v>
      </c>
      <c r="E124" s="2" t="s">
        <v>746</v>
      </c>
    </row>
    <row r="125" spans="1:5" x14ac:dyDescent="0.3">
      <c r="A125" s="2" t="s">
        <v>526</v>
      </c>
      <c r="B125" s="2" t="s">
        <v>434</v>
      </c>
      <c r="C125" s="2" t="s">
        <v>744</v>
      </c>
      <c r="D125" s="2" t="s">
        <v>745</v>
      </c>
      <c r="E125" s="2" t="s">
        <v>746</v>
      </c>
    </row>
    <row r="126" spans="1:5" x14ac:dyDescent="0.3">
      <c r="A126" s="2" t="s">
        <v>532</v>
      </c>
      <c r="B126" s="2" t="s">
        <v>470</v>
      </c>
      <c r="C126" s="2" t="s">
        <v>744</v>
      </c>
      <c r="D126" s="2" t="s">
        <v>745</v>
      </c>
      <c r="E126" s="2" t="s">
        <v>746</v>
      </c>
    </row>
    <row r="127" spans="1:5" x14ac:dyDescent="0.3">
      <c r="A127" s="2" t="s">
        <v>532</v>
      </c>
      <c r="B127" s="2" t="s">
        <v>398</v>
      </c>
      <c r="C127" s="2" t="s">
        <v>744</v>
      </c>
      <c r="D127" s="2" t="s">
        <v>745</v>
      </c>
      <c r="E127" s="2" t="s">
        <v>746</v>
      </c>
    </row>
    <row r="128" spans="1:5" x14ac:dyDescent="0.3">
      <c r="A128" s="2" t="s">
        <v>538</v>
      </c>
      <c r="B128" s="2" t="s">
        <v>519</v>
      </c>
      <c r="C128" s="2" t="s">
        <v>744</v>
      </c>
      <c r="D128" s="2" t="s">
        <v>745</v>
      </c>
      <c r="E128" s="2" t="s">
        <v>746</v>
      </c>
    </row>
    <row r="129" spans="1:5" x14ac:dyDescent="0.3">
      <c r="A129" s="2" t="s">
        <v>538</v>
      </c>
      <c r="B129" s="2" t="s">
        <v>526</v>
      </c>
      <c r="C129" s="2" t="s">
        <v>744</v>
      </c>
      <c r="D129" s="2" t="s">
        <v>745</v>
      </c>
      <c r="E129" s="2" t="s">
        <v>746</v>
      </c>
    </row>
    <row r="130" spans="1:5" x14ac:dyDescent="0.3">
      <c r="A130" s="2" t="s">
        <v>545</v>
      </c>
      <c r="B130" s="2" t="s">
        <v>470</v>
      </c>
      <c r="C130" s="2" t="s">
        <v>744</v>
      </c>
      <c r="D130" s="2" t="s">
        <v>745</v>
      </c>
      <c r="E130" s="2" t="s">
        <v>746</v>
      </c>
    </row>
    <row r="131" spans="1:5" x14ac:dyDescent="0.3">
      <c r="A131" s="2" t="s">
        <v>551</v>
      </c>
      <c r="B131" s="2" t="s">
        <v>492</v>
      </c>
      <c r="C131" s="2" t="s">
        <v>744</v>
      </c>
      <c r="D131" s="2" t="s">
        <v>745</v>
      </c>
      <c r="E131" s="2" t="s">
        <v>746</v>
      </c>
    </row>
    <row r="132" spans="1:5" x14ac:dyDescent="0.3">
      <c r="A132" s="2" t="s">
        <v>551</v>
      </c>
      <c r="B132" s="2" t="s">
        <v>526</v>
      </c>
      <c r="C132" s="2" t="s">
        <v>744</v>
      </c>
      <c r="D132" s="2" t="s">
        <v>745</v>
      </c>
      <c r="E132" s="2" t="s">
        <v>746</v>
      </c>
    </row>
    <row r="133" spans="1:5" x14ac:dyDescent="0.3">
      <c r="A133" s="2" t="s">
        <v>557</v>
      </c>
      <c r="B133" s="2" t="s">
        <v>526</v>
      </c>
      <c r="C133" s="2" t="s">
        <v>744</v>
      </c>
      <c r="D133" s="2" t="s">
        <v>745</v>
      </c>
      <c r="E133" s="2" t="s">
        <v>746</v>
      </c>
    </row>
    <row r="134" spans="1:5" x14ac:dyDescent="0.3">
      <c r="A134" s="2" t="s">
        <v>557</v>
      </c>
      <c r="B134" s="2" t="s">
        <v>532</v>
      </c>
      <c r="C134" s="2" t="s">
        <v>744</v>
      </c>
      <c r="D134" s="2" t="s">
        <v>745</v>
      </c>
      <c r="E134" s="2" t="s">
        <v>746</v>
      </c>
    </row>
    <row r="135" spans="1:5" x14ac:dyDescent="0.3">
      <c r="A135" s="2" t="s">
        <v>557</v>
      </c>
      <c r="B135" s="2" t="s">
        <v>538</v>
      </c>
      <c r="C135" s="2" t="s">
        <v>744</v>
      </c>
      <c r="D135" s="2" t="s">
        <v>745</v>
      </c>
      <c r="E135" s="2" t="s">
        <v>746</v>
      </c>
    </row>
    <row r="136" spans="1:5" x14ac:dyDescent="0.3">
      <c r="A136" s="2" t="s">
        <v>557</v>
      </c>
      <c r="B136" s="2" t="s">
        <v>551</v>
      </c>
      <c r="C136" s="2" t="s">
        <v>744</v>
      </c>
      <c r="D136" s="2" t="s">
        <v>745</v>
      </c>
      <c r="E136" s="2" t="s">
        <v>746</v>
      </c>
    </row>
    <row r="137" spans="1:5" x14ac:dyDescent="0.3">
      <c r="A137" s="2" t="s">
        <v>563</v>
      </c>
      <c r="B137" s="2" t="s">
        <v>557</v>
      </c>
      <c r="C137" s="2" t="s">
        <v>744</v>
      </c>
      <c r="D137" s="2" t="s">
        <v>745</v>
      </c>
      <c r="E137" s="2" t="s">
        <v>746</v>
      </c>
    </row>
    <row r="138" spans="1:5" x14ac:dyDescent="0.3">
      <c r="A138" s="2" t="s">
        <v>563</v>
      </c>
      <c r="B138" s="2" t="s">
        <v>538</v>
      </c>
      <c r="C138" s="2" t="s">
        <v>744</v>
      </c>
      <c r="D138" s="2" t="s">
        <v>745</v>
      </c>
      <c r="E138" s="2" t="s">
        <v>746</v>
      </c>
    </row>
    <row r="139" spans="1:5" x14ac:dyDescent="0.3">
      <c r="A139" s="2" t="s">
        <v>569</v>
      </c>
      <c r="B139" s="2" t="s">
        <v>563</v>
      </c>
      <c r="C139" s="2" t="s">
        <v>744</v>
      </c>
      <c r="D139" s="2" t="s">
        <v>745</v>
      </c>
      <c r="E139" s="2" t="s">
        <v>746</v>
      </c>
    </row>
    <row r="140" spans="1:5" x14ac:dyDescent="0.3">
      <c r="A140" s="2" t="s">
        <v>576</v>
      </c>
      <c r="B140" s="2" t="s">
        <v>569</v>
      </c>
      <c r="C140" s="2" t="s">
        <v>744</v>
      </c>
      <c r="D140" s="2" t="s">
        <v>745</v>
      </c>
      <c r="E140" s="2" t="s">
        <v>746</v>
      </c>
    </row>
    <row r="141" spans="1:5" x14ac:dyDescent="0.3">
      <c r="A141" s="2" t="s">
        <v>581</v>
      </c>
      <c r="B141" s="2" t="s">
        <v>576</v>
      </c>
      <c r="C141" s="2" t="s">
        <v>744</v>
      </c>
      <c r="D141" s="2" t="s">
        <v>745</v>
      </c>
      <c r="E141" s="2" t="s">
        <v>746</v>
      </c>
    </row>
    <row r="142" spans="1:5" x14ac:dyDescent="0.3">
      <c r="A142" s="2" t="s">
        <v>581</v>
      </c>
      <c r="B142" s="2" t="s">
        <v>324</v>
      </c>
      <c r="C142" s="2" t="s">
        <v>744</v>
      </c>
      <c r="D142" s="2" t="s">
        <v>745</v>
      </c>
      <c r="E142" s="2" t="s">
        <v>746</v>
      </c>
    </row>
    <row r="143" spans="1:5" x14ac:dyDescent="0.3">
      <c r="A143" s="2" t="s">
        <v>587</v>
      </c>
      <c r="B143" s="2" t="s">
        <v>551</v>
      </c>
      <c r="C143" s="2" t="s">
        <v>744</v>
      </c>
      <c r="D143" s="2" t="s">
        <v>745</v>
      </c>
      <c r="E143" s="2" t="s">
        <v>746</v>
      </c>
    </row>
    <row r="144" spans="1:5" x14ac:dyDescent="0.3">
      <c r="A144" s="2" t="s">
        <v>587</v>
      </c>
      <c r="B144" s="2" t="s">
        <v>339</v>
      </c>
      <c r="C144" s="2" t="s">
        <v>744</v>
      </c>
      <c r="D144" s="2" t="s">
        <v>745</v>
      </c>
      <c r="E144" s="2" t="s">
        <v>746</v>
      </c>
    </row>
    <row r="145" spans="1:5" x14ac:dyDescent="0.3">
      <c r="A145" s="2" t="s">
        <v>596</v>
      </c>
      <c r="B145" s="2" t="s">
        <v>587</v>
      </c>
      <c r="C145" s="2" t="s">
        <v>744</v>
      </c>
      <c r="D145" s="2" t="s">
        <v>745</v>
      </c>
      <c r="E145" s="2" t="s">
        <v>746</v>
      </c>
    </row>
    <row r="146" spans="1:5" x14ac:dyDescent="0.3">
      <c r="A146" s="2" t="s">
        <v>596</v>
      </c>
      <c r="B146" s="2" t="s">
        <v>324</v>
      </c>
      <c r="C146" s="2" t="s">
        <v>744</v>
      </c>
      <c r="D146" s="2" t="s">
        <v>745</v>
      </c>
      <c r="E146" s="2" t="s">
        <v>746</v>
      </c>
    </row>
    <row r="147" spans="1:5" x14ac:dyDescent="0.3">
      <c r="A147" s="2" t="s">
        <v>603</v>
      </c>
      <c r="B147" s="2" t="s">
        <v>551</v>
      </c>
      <c r="C147" s="2" t="s">
        <v>744</v>
      </c>
      <c r="D147" s="2" t="s">
        <v>745</v>
      </c>
      <c r="E147" s="2" t="s">
        <v>746</v>
      </c>
    </row>
    <row r="148" spans="1:5" x14ac:dyDescent="0.3">
      <c r="A148" s="2" t="s">
        <v>603</v>
      </c>
      <c r="B148" s="2" t="s">
        <v>477</v>
      </c>
      <c r="C148" s="2" t="s">
        <v>744</v>
      </c>
      <c r="D148" s="2" t="s">
        <v>745</v>
      </c>
      <c r="E148" s="2" t="s">
        <v>746</v>
      </c>
    </row>
    <row r="149" spans="1:5" x14ac:dyDescent="0.3">
      <c r="A149" s="2" t="s">
        <v>609</v>
      </c>
      <c r="B149" s="2" t="s">
        <v>603</v>
      </c>
      <c r="C149" s="2" t="s">
        <v>744</v>
      </c>
      <c r="D149" s="2" t="s">
        <v>745</v>
      </c>
      <c r="E149" s="2" t="s">
        <v>746</v>
      </c>
    </row>
    <row r="150" spans="1:5" x14ac:dyDescent="0.3">
      <c r="A150" s="2" t="s">
        <v>609</v>
      </c>
      <c r="B150" s="2" t="s">
        <v>581</v>
      </c>
      <c r="C150" s="2" t="s">
        <v>744</v>
      </c>
      <c r="D150" s="2" t="s">
        <v>745</v>
      </c>
      <c r="E150" s="2" t="s">
        <v>746</v>
      </c>
    </row>
    <row r="151" spans="1:5" x14ac:dyDescent="0.3">
      <c r="A151" s="2" t="s">
        <v>615</v>
      </c>
      <c r="B151" s="2" t="s">
        <v>609</v>
      </c>
      <c r="C151" s="2" t="s">
        <v>744</v>
      </c>
      <c r="D151" s="2" t="s">
        <v>745</v>
      </c>
      <c r="E151" s="2" t="s">
        <v>746</v>
      </c>
    </row>
    <row r="152" spans="1:5" x14ac:dyDescent="0.3">
      <c r="A152" s="2" t="s">
        <v>615</v>
      </c>
      <c r="B152" s="2" t="s">
        <v>563</v>
      </c>
      <c r="C152" s="2" t="s">
        <v>744</v>
      </c>
      <c r="D152" s="2" t="s">
        <v>745</v>
      </c>
      <c r="E152" s="2" t="s">
        <v>746</v>
      </c>
    </row>
    <row r="153" spans="1:5" x14ac:dyDescent="0.3">
      <c r="A153" s="2" t="s">
        <v>621</v>
      </c>
      <c r="B153" s="2" t="s">
        <v>581</v>
      </c>
      <c r="C153" s="2" t="s">
        <v>744</v>
      </c>
      <c r="D153" s="2" t="s">
        <v>745</v>
      </c>
      <c r="E153" s="2" t="s">
        <v>746</v>
      </c>
    </row>
    <row r="154" spans="1:5" x14ac:dyDescent="0.3">
      <c r="A154" s="2" t="s">
        <v>621</v>
      </c>
      <c r="B154" s="2" t="s">
        <v>615</v>
      </c>
      <c r="C154" s="2" t="s">
        <v>744</v>
      </c>
      <c r="D154" s="2" t="s">
        <v>745</v>
      </c>
      <c r="E154" s="2" t="s">
        <v>746</v>
      </c>
    </row>
    <row r="155" spans="1:5" x14ac:dyDescent="0.3">
      <c r="A155" s="2" t="s">
        <v>628</v>
      </c>
      <c r="B155" s="2" t="s">
        <v>621</v>
      </c>
      <c r="C155" s="2" t="s">
        <v>744</v>
      </c>
      <c r="D155" s="2" t="s">
        <v>745</v>
      </c>
      <c r="E155" s="2" t="s">
        <v>746</v>
      </c>
    </row>
    <row r="156" spans="1:5" x14ac:dyDescent="0.3">
      <c r="A156" s="2" t="s">
        <v>633</v>
      </c>
      <c r="B156" s="2" t="s">
        <v>621</v>
      </c>
      <c r="C156" s="2" t="s">
        <v>744</v>
      </c>
      <c r="D156" s="2" t="s">
        <v>745</v>
      </c>
      <c r="E156" s="2" t="s">
        <v>746</v>
      </c>
    </row>
    <row r="157" spans="1:5" x14ac:dyDescent="0.3">
      <c r="A157" s="2" t="s">
        <v>633</v>
      </c>
      <c r="B157" s="2" t="s">
        <v>628</v>
      </c>
      <c r="C157" s="2" t="s">
        <v>744</v>
      </c>
      <c r="D157" s="2" t="s">
        <v>745</v>
      </c>
      <c r="E157" s="2" t="s">
        <v>746</v>
      </c>
    </row>
    <row r="158" spans="1:5" x14ac:dyDescent="0.3">
      <c r="A158" s="2" t="s">
        <v>639</v>
      </c>
      <c r="B158" s="2" t="s">
        <v>633</v>
      </c>
      <c r="C158" s="2" t="s">
        <v>744</v>
      </c>
      <c r="D158" s="2" t="s">
        <v>745</v>
      </c>
      <c r="E158" s="2" t="s">
        <v>746</v>
      </c>
    </row>
    <row r="159" spans="1:5" x14ac:dyDescent="0.3">
      <c r="A159" s="2" t="s">
        <v>645</v>
      </c>
      <c r="B159" s="2" t="s">
        <v>639</v>
      </c>
      <c r="C159" s="2" t="s">
        <v>744</v>
      </c>
      <c r="D159" s="2" t="s">
        <v>745</v>
      </c>
      <c r="E159" s="2" t="s">
        <v>746</v>
      </c>
    </row>
    <row r="160" spans="1:5" x14ac:dyDescent="0.3">
      <c r="A160" s="2" t="s">
        <v>651</v>
      </c>
      <c r="B160" s="2" t="s">
        <v>645</v>
      </c>
      <c r="C160" s="2" t="s">
        <v>744</v>
      </c>
      <c r="D160" s="2" t="s">
        <v>745</v>
      </c>
      <c r="E160" s="2" t="s">
        <v>746</v>
      </c>
    </row>
    <row r="161" spans="1:5" x14ac:dyDescent="0.3">
      <c r="A161" s="2" t="s">
        <v>651</v>
      </c>
      <c r="B161" s="2" t="s">
        <v>273</v>
      </c>
      <c r="C161" s="2" t="s">
        <v>744</v>
      </c>
      <c r="D161" s="2" t="s">
        <v>745</v>
      </c>
      <c r="E161" s="2" t="s">
        <v>746</v>
      </c>
    </row>
    <row r="162" spans="1:5" x14ac:dyDescent="0.3">
      <c r="A162" s="2" t="s">
        <v>658</v>
      </c>
      <c r="B162" s="2" t="s">
        <v>651</v>
      </c>
      <c r="C162" s="2" t="s">
        <v>744</v>
      </c>
      <c r="D162" s="2" t="s">
        <v>745</v>
      </c>
      <c r="E162" s="2" t="s">
        <v>746</v>
      </c>
    </row>
    <row r="163" spans="1:5" x14ac:dyDescent="0.3">
      <c r="A163" s="2" t="s">
        <v>658</v>
      </c>
      <c r="B163" s="2" t="s">
        <v>633</v>
      </c>
      <c r="C163" s="2" t="s">
        <v>744</v>
      </c>
      <c r="D163" s="2" t="s">
        <v>745</v>
      </c>
      <c r="E163" s="2" t="s">
        <v>746</v>
      </c>
    </row>
    <row r="164" spans="1:5" x14ac:dyDescent="0.3">
      <c r="A164" s="2" t="s">
        <v>665</v>
      </c>
      <c r="B164" s="2" t="s">
        <v>658</v>
      </c>
      <c r="C164" s="2" t="s">
        <v>744</v>
      </c>
      <c r="D164" s="2" t="s">
        <v>745</v>
      </c>
      <c r="E164" s="2" t="s">
        <v>746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10" customWidth="1"/>
    <col min="3" max="3" width="14" customWidth="1"/>
    <col min="4" max="4" width="78" customWidth="1"/>
    <col min="5" max="5" width="58" customWidth="1"/>
    <col min="6" max="6" width="16" customWidth="1"/>
    <col min="7" max="7" width="38" customWidth="1"/>
  </cols>
  <sheetData>
    <row r="1" spans="1:7" x14ac:dyDescent="0.3">
      <c r="A1" s="1" t="s">
        <v>748</v>
      </c>
      <c r="B1" s="1" t="s">
        <v>21</v>
      </c>
      <c r="C1" s="1" t="s">
        <v>749</v>
      </c>
      <c r="D1" s="1" t="s">
        <v>750</v>
      </c>
      <c r="E1" s="1" t="s">
        <v>751</v>
      </c>
      <c r="F1" s="1" t="s">
        <v>40</v>
      </c>
      <c r="G1" s="1" t="s">
        <v>752</v>
      </c>
    </row>
    <row r="2" spans="1:7" ht="28.8" x14ac:dyDescent="0.3">
      <c r="A2" s="2" t="s">
        <v>728</v>
      </c>
      <c r="B2" s="2" t="s">
        <v>117</v>
      </c>
      <c r="C2" s="3">
        <v>46222</v>
      </c>
      <c r="D2" s="2" t="s">
        <v>753</v>
      </c>
      <c r="E2" s="2" t="s">
        <v>754</v>
      </c>
      <c r="F2" s="2" t="s">
        <v>195</v>
      </c>
      <c r="G2" s="2"/>
    </row>
    <row r="3" spans="1:7" ht="28.8" x14ac:dyDescent="0.3">
      <c r="A3" s="2" t="s">
        <v>729</v>
      </c>
      <c r="B3" s="2" t="s">
        <v>570</v>
      </c>
      <c r="C3" s="3">
        <v>46271</v>
      </c>
      <c r="D3" s="2" t="s">
        <v>755</v>
      </c>
      <c r="E3" s="2" t="s">
        <v>756</v>
      </c>
      <c r="F3" s="2" t="s">
        <v>195</v>
      </c>
      <c r="G3" s="2"/>
    </row>
    <row r="4" spans="1:7" ht="28.8" x14ac:dyDescent="0.3">
      <c r="A4" s="2" t="s">
        <v>731</v>
      </c>
      <c r="B4" s="2" t="s">
        <v>730</v>
      </c>
      <c r="C4" s="3">
        <v>46369</v>
      </c>
      <c r="D4" s="2" t="s">
        <v>757</v>
      </c>
      <c r="E4" s="2" t="s">
        <v>758</v>
      </c>
      <c r="F4" s="2" t="s">
        <v>195</v>
      </c>
      <c r="G4" s="2"/>
    </row>
    <row r="5" spans="1:7" ht="28.8" x14ac:dyDescent="0.3">
      <c r="A5" s="2" t="s">
        <v>733</v>
      </c>
      <c r="B5" s="2" t="s">
        <v>732</v>
      </c>
      <c r="C5" s="3">
        <v>46460</v>
      </c>
      <c r="D5" s="2" t="s">
        <v>759</v>
      </c>
      <c r="E5" s="2" t="s">
        <v>760</v>
      </c>
      <c r="F5" s="2" t="s">
        <v>195</v>
      </c>
      <c r="G5" s="2"/>
    </row>
    <row r="6" spans="1:7" x14ac:dyDescent="0.3">
      <c r="A6" s="2" t="s">
        <v>735</v>
      </c>
      <c r="B6" s="2" t="s">
        <v>734</v>
      </c>
      <c r="C6" s="3">
        <v>46642</v>
      </c>
      <c r="D6" s="2" t="s">
        <v>761</v>
      </c>
      <c r="E6" s="2" t="s">
        <v>762</v>
      </c>
      <c r="F6" s="2" t="s">
        <v>195</v>
      </c>
      <c r="G6" s="2"/>
    </row>
    <row r="7" spans="1:7" x14ac:dyDescent="0.3">
      <c r="A7" s="2" t="s">
        <v>737</v>
      </c>
      <c r="B7" s="2" t="s">
        <v>736</v>
      </c>
      <c r="C7" s="3">
        <v>46824</v>
      </c>
      <c r="D7" s="2" t="s">
        <v>763</v>
      </c>
      <c r="E7" s="2" t="s">
        <v>764</v>
      </c>
      <c r="F7" s="2" t="s">
        <v>195</v>
      </c>
      <c r="G7" s="2"/>
    </row>
    <row r="8" spans="1:7" x14ac:dyDescent="0.3">
      <c r="A8" s="2" t="s">
        <v>739</v>
      </c>
      <c r="B8" s="2" t="s">
        <v>738</v>
      </c>
      <c r="C8" s="3">
        <v>47299</v>
      </c>
      <c r="D8" s="2" t="s">
        <v>765</v>
      </c>
      <c r="E8" s="2" t="s">
        <v>766</v>
      </c>
      <c r="F8" s="2" t="s">
        <v>195</v>
      </c>
      <c r="G8" s="2"/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2" customWidth="1"/>
    <col min="3" max="3" width="14" customWidth="1"/>
    <col min="4" max="4" width="16" customWidth="1"/>
    <col min="5" max="5" width="54" customWidth="1"/>
    <col min="6" max="6" width="62" customWidth="1"/>
    <col min="7" max="7" width="22" customWidth="1"/>
    <col min="8" max="8" width="14" customWidth="1"/>
    <col min="9" max="9" width="16" customWidth="1"/>
  </cols>
  <sheetData>
    <row r="1" spans="1:9" x14ac:dyDescent="0.3">
      <c r="A1" s="1" t="s">
        <v>767</v>
      </c>
      <c r="B1" s="1" t="s">
        <v>768</v>
      </c>
      <c r="C1" s="1" t="s">
        <v>769</v>
      </c>
      <c r="D1" s="1" t="s">
        <v>770</v>
      </c>
      <c r="E1" s="1" t="s">
        <v>742</v>
      </c>
      <c r="F1" s="1" t="s">
        <v>771</v>
      </c>
      <c r="G1" s="1" t="s">
        <v>38</v>
      </c>
      <c r="H1" s="1" t="s">
        <v>40</v>
      </c>
      <c r="I1" s="1" t="s">
        <v>772</v>
      </c>
    </row>
    <row r="2" spans="1:9" ht="28.8" x14ac:dyDescent="0.3">
      <c r="A2" s="2" t="s">
        <v>773</v>
      </c>
      <c r="B2" s="2" t="s">
        <v>774</v>
      </c>
      <c r="C2" s="2" t="s">
        <v>775</v>
      </c>
      <c r="D2" s="2" t="s">
        <v>775</v>
      </c>
      <c r="E2" s="2" t="s">
        <v>776</v>
      </c>
      <c r="F2" s="2" t="s">
        <v>777</v>
      </c>
      <c r="G2" s="2" t="s">
        <v>231</v>
      </c>
      <c r="H2" s="2" t="s">
        <v>778</v>
      </c>
      <c r="I2" s="2" t="s">
        <v>228</v>
      </c>
    </row>
    <row r="3" spans="1:9" x14ac:dyDescent="0.3">
      <c r="A3" s="2" t="s">
        <v>779</v>
      </c>
      <c r="B3" s="2" t="s">
        <v>780</v>
      </c>
      <c r="C3" s="2" t="s">
        <v>775</v>
      </c>
      <c r="D3" s="2" t="s">
        <v>781</v>
      </c>
      <c r="E3" s="2" t="s">
        <v>782</v>
      </c>
      <c r="F3" s="2" t="s">
        <v>783</v>
      </c>
      <c r="G3" s="2" t="s">
        <v>149</v>
      </c>
      <c r="H3" s="2" t="s">
        <v>778</v>
      </c>
      <c r="I3" s="2" t="s">
        <v>784</v>
      </c>
    </row>
    <row r="4" spans="1:9" x14ac:dyDescent="0.3">
      <c r="A4" s="2" t="s">
        <v>785</v>
      </c>
      <c r="B4" s="2" t="s">
        <v>786</v>
      </c>
      <c r="C4" s="2" t="s">
        <v>775</v>
      </c>
      <c r="D4" s="2" t="s">
        <v>781</v>
      </c>
      <c r="E4" s="2" t="s">
        <v>787</v>
      </c>
      <c r="F4" s="2" t="s">
        <v>788</v>
      </c>
      <c r="G4" s="2" t="s">
        <v>789</v>
      </c>
      <c r="H4" s="2" t="s">
        <v>778</v>
      </c>
      <c r="I4" s="2" t="s">
        <v>452</v>
      </c>
    </row>
    <row r="5" spans="1:9" x14ac:dyDescent="0.3">
      <c r="A5" s="2" t="s">
        <v>790</v>
      </c>
      <c r="B5" s="2" t="s">
        <v>791</v>
      </c>
      <c r="C5" s="2" t="s">
        <v>792</v>
      </c>
      <c r="D5" s="2" t="s">
        <v>793</v>
      </c>
      <c r="E5" s="2" t="s">
        <v>794</v>
      </c>
      <c r="F5" s="2" t="s">
        <v>795</v>
      </c>
      <c r="G5" s="2" t="s">
        <v>796</v>
      </c>
      <c r="H5" s="2" t="s">
        <v>778</v>
      </c>
      <c r="I5" s="2" t="s">
        <v>273</v>
      </c>
    </row>
    <row r="6" spans="1:9" x14ac:dyDescent="0.3">
      <c r="A6" s="2" t="s">
        <v>797</v>
      </c>
      <c r="B6" s="2" t="s">
        <v>798</v>
      </c>
      <c r="C6" s="2" t="s">
        <v>781</v>
      </c>
      <c r="D6" s="2" t="s">
        <v>781</v>
      </c>
      <c r="E6" s="2" t="s">
        <v>799</v>
      </c>
      <c r="F6" s="2" t="s">
        <v>800</v>
      </c>
      <c r="G6" s="2" t="s">
        <v>149</v>
      </c>
      <c r="H6" s="2" t="s">
        <v>778</v>
      </c>
      <c r="I6" s="2" t="s">
        <v>345</v>
      </c>
    </row>
    <row r="7" spans="1:9" x14ac:dyDescent="0.3">
      <c r="A7" s="2" t="s">
        <v>801</v>
      </c>
      <c r="B7" s="2" t="s">
        <v>802</v>
      </c>
      <c r="C7" s="2" t="s">
        <v>781</v>
      </c>
      <c r="D7" s="2" t="s">
        <v>781</v>
      </c>
      <c r="E7" s="2" t="s">
        <v>803</v>
      </c>
      <c r="F7" s="2" t="s">
        <v>804</v>
      </c>
      <c r="G7" s="2" t="s">
        <v>294</v>
      </c>
      <c r="H7" s="2" t="s">
        <v>778</v>
      </c>
      <c r="I7" s="2" t="s">
        <v>324</v>
      </c>
    </row>
    <row r="8" spans="1:9" x14ac:dyDescent="0.3">
      <c r="A8" s="2" t="s">
        <v>805</v>
      </c>
      <c r="B8" s="2" t="s">
        <v>806</v>
      </c>
      <c r="C8" s="2" t="s">
        <v>775</v>
      </c>
      <c r="D8" s="2" t="s">
        <v>781</v>
      </c>
      <c r="E8" s="2" t="s">
        <v>807</v>
      </c>
      <c r="F8" s="2" t="s">
        <v>808</v>
      </c>
      <c r="G8" s="2" t="s">
        <v>488</v>
      </c>
      <c r="H8" s="2" t="s">
        <v>778</v>
      </c>
      <c r="I8" s="2" t="s">
        <v>492</v>
      </c>
    </row>
    <row r="9" spans="1:9" x14ac:dyDescent="0.3">
      <c r="A9" s="2" t="s">
        <v>809</v>
      </c>
      <c r="B9" s="2" t="s">
        <v>810</v>
      </c>
      <c r="C9" s="2" t="s">
        <v>792</v>
      </c>
      <c r="D9" s="2" t="s">
        <v>781</v>
      </c>
      <c r="E9" s="2" t="s">
        <v>811</v>
      </c>
      <c r="F9" s="2" t="s">
        <v>812</v>
      </c>
      <c r="G9" s="2" t="s">
        <v>813</v>
      </c>
      <c r="H9" s="2" t="s">
        <v>778</v>
      </c>
      <c r="I9" s="2" t="s">
        <v>628</v>
      </c>
    </row>
    <row r="10" spans="1:9" x14ac:dyDescent="0.3">
      <c r="A10" s="2" t="s">
        <v>814</v>
      </c>
      <c r="B10" s="2" t="s">
        <v>815</v>
      </c>
      <c r="C10" s="2" t="s">
        <v>781</v>
      </c>
      <c r="D10" s="2" t="s">
        <v>781</v>
      </c>
      <c r="E10" s="2" t="s">
        <v>816</v>
      </c>
      <c r="F10" s="2" t="s">
        <v>817</v>
      </c>
      <c r="G10" s="2" t="s">
        <v>818</v>
      </c>
      <c r="H10" s="2" t="s">
        <v>778</v>
      </c>
      <c r="I10" s="2" t="s">
        <v>470</v>
      </c>
    </row>
    <row r="11" spans="1:9" x14ac:dyDescent="0.3">
      <c r="A11" s="2" t="s">
        <v>819</v>
      </c>
      <c r="B11" s="2" t="s">
        <v>820</v>
      </c>
      <c r="C11" s="2" t="s">
        <v>775</v>
      </c>
      <c r="D11" s="2" t="s">
        <v>781</v>
      </c>
      <c r="E11" s="2" t="s">
        <v>821</v>
      </c>
      <c r="F11" s="2" t="s">
        <v>822</v>
      </c>
      <c r="G11" s="2" t="s">
        <v>789</v>
      </c>
      <c r="H11" s="2" t="s">
        <v>778</v>
      </c>
      <c r="I11" s="2" t="s">
        <v>513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32" customWidth="1"/>
    <col min="3" max="3" width="76" customWidth="1"/>
    <col min="4" max="4" width="16" customWidth="1"/>
    <col min="5" max="5" width="22" customWidth="1"/>
    <col min="6" max="6" width="20" customWidth="1"/>
    <col min="7" max="7" width="46" customWidth="1"/>
  </cols>
  <sheetData>
    <row r="1" spans="1:7" x14ac:dyDescent="0.3">
      <c r="A1" s="1" t="s">
        <v>823</v>
      </c>
      <c r="B1" s="1" t="s">
        <v>824</v>
      </c>
      <c r="C1" s="1" t="s">
        <v>825</v>
      </c>
      <c r="D1" s="1" t="s">
        <v>826</v>
      </c>
      <c r="E1" s="1" t="s">
        <v>38</v>
      </c>
      <c r="F1" s="1" t="s">
        <v>827</v>
      </c>
      <c r="G1" s="1" t="s">
        <v>828</v>
      </c>
    </row>
    <row r="2" spans="1:7" ht="28.8" x14ac:dyDescent="0.3">
      <c r="A2" s="2" t="s">
        <v>3</v>
      </c>
      <c r="B2" s="2" t="s">
        <v>4</v>
      </c>
      <c r="C2" s="2" t="s">
        <v>829</v>
      </c>
      <c r="D2" s="2" t="s">
        <v>830</v>
      </c>
      <c r="E2" s="2" t="s">
        <v>831</v>
      </c>
      <c r="F2" s="2" t="s">
        <v>570</v>
      </c>
      <c r="G2" s="2" t="s">
        <v>832</v>
      </c>
    </row>
    <row r="3" spans="1:7" x14ac:dyDescent="0.3">
      <c r="A3" s="2" t="s">
        <v>833</v>
      </c>
      <c r="B3" s="2" t="s">
        <v>834</v>
      </c>
      <c r="C3" s="2" t="s">
        <v>835</v>
      </c>
      <c r="D3" s="2" t="s">
        <v>830</v>
      </c>
      <c r="E3" s="2" t="s">
        <v>818</v>
      </c>
      <c r="F3" s="2" t="s">
        <v>117</v>
      </c>
      <c r="G3" s="2" t="s">
        <v>836</v>
      </c>
    </row>
    <row r="4" spans="1:7" x14ac:dyDescent="0.3">
      <c r="A4" s="2" t="s">
        <v>833</v>
      </c>
      <c r="B4" s="2" t="s">
        <v>837</v>
      </c>
      <c r="C4" s="2" t="s">
        <v>838</v>
      </c>
      <c r="D4" s="2" t="s">
        <v>830</v>
      </c>
      <c r="E4" s="2" t="s">
        <v>839</v>
      </c>
      <c r="F4" s="2" t="s">
        <v>117</v>
      </c>
      <c r="G4" s="2" t="s">
        <v>840</v>
      </c>
    </row>
    <row r="5" spans="1:7" x14ac:dyDescent="0.3">
      <c r="A5" s="2" t="s">
        <v>833</v>
      </c>
      <c r="B5" s="2" t="s">
        <v>841</v>
      </c>
      <c r="C5" s="2" t="s">
        <v>842</v>
      </c>
      <c r="D5" s="2" t="s">
        <v>830</v>
      </c>
      <c r="E5" s="2" t="s">
        <v>831</v>
      </c>
      <c r="F5" s="2" t="s">
        <v>117</v>
      </c>
      <c r="G5" s="2" t="s">
        <v>843</v>
      </c>
    </row>
    <row r="6" spans="1:7" x14ac:dyDescent="0.3">
      <c r="A6" s="2" t="s">
        <v>844</v>
      </c>
      <c r="B6" s="2" t="s">
        <v>845</v>
      </c>
      <c r="C6" s="2" t="s">
        <v>846</v>
      </c>
      <c r="D6" s="2" t="s">
        <v>830</v>
      </c>
      <c r="E6" s="2" t="s">
        <v>847</v>
      </c>
      <c r="F6" s="2" t="s">
        <v>570</v>
      </c>
      <c r="G6" s="2" t="s">
        <v>848</v>
      </c>
    </row>
    <row r="7" spans="1:7" x14ac:dyDescent="0.3">
      <c r="A7" s="2" t="s">
        <v>849</v>
      </c>
      <c r="B7" s="2" t="s">
        <v>850</v>
      </c>
      <c r="C7" s="2" t="s">
        <v>851</v>
      </c>
      <c r="D7" s="2" t="s">
        <v>830</v>
      </c>
      <c r="E7" s="2" t="s">
        <v>847</v>
      </c>
      <c r="F7" s="2" t="s">
        <v>570</v>
      </c>
      <c r="G7" s="2" t="s">
        <v>852</v>
      </c>
    </row>
    <row r="8" spans="1:7" x14ac:dyDescent="0.3">
      <c r="A8" s="2" t="s">
        <v>853</v>
      </c>
      <c r="B8" s="2" t="s">
        <v>854</v>
      </c>
      <c r="C8" s="2" t="s">
        <v>855</v>
      </c>
      <c r="D8" s="2" t="s">
        <v>856</v>
      </c>
      <c r="E8" s="2" t="s">
        <v>789</v>
      </c>
      <c r="F8" s="2" t="s">
        <v>730</v>
      </c>
      <c r="G8" s="2" t="s">
        <v>857</v>
      </c>
    </row>
    <row r="9" spans="1:7" x14ac:dyDescent="0.3">
      <c r="A9" s="2" t="s">
        <v>853</v>
      </c>
      <c r="B9" s="2" t="s">
        <v>858</v>
      </c>
      <c r="C9" s="2" t="s">
        <v>859</v>
      </c>
      <c r="D9" s="2" t="s">
        <v>856</v>
      </c>
      <c r="E9" s="2" t="s">
        <v>839</v>
      </c>
      <c r="F9" s="2" t="s">
        <v>730</v>
      </c>
      <c r="G9" s="2" t="s">
        <v>860</v>
      </c>
    </row>
    <row r="10" spans="1:7" x14ac:dyDescent="0.3">
      <c r="A10" s="2" t="s">
        <v>861</v>
      </c>
      <c r="B10" s="2" t="s">
        <v>862</v>
      </c>
      <c r="C10" s="2" t="s">
        <v>863</v>
      </c>
      <c r="D10" s="2" t="s">
        <v>856</v>
      </c>
      <c r="E10" s="2" t="s">
        <v>818</v>
      </c>
      <c r="F10" s="2" t="s">
        <v>730</v>
      </c>
      <c r="G10" s="2" t="s">
        <v>864</v>
      </c>
    </row>
    <row r="11" spans="1:7" x14ac:dyDescent="0.3">
      <c r="A11" s="2" t="s">
        <v>865</v>
      </c>
      <c r="B11" s="2" t="s">
        <v>866</v>
      </c>
      <c r="C11" s="2" t="s">
        <v>867</v>
      </c>
      <c r="D11" s="2" t="s">
        <v>856</v>
      </c>
      <c r="E11" s="2" t="s">
        <v>868</v>
      </c>
      <c r="F11" s="2" t="s">
        <v>736</v>
      </c>
      <c r="G11" s="2" t="s">
        <v>869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41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24" customWidth="1"/>
    <col min="3" max="3" width="20" customWidth="1"/>
    <col min="4" max="4" width="16" customWidth="1"/>
    <col min="5" max="5" width="20" customWidth="1"/>
    <col min="6" max="6" width="16" customWidth="1"/>
    <col min="7" max="8" width="15" customWidth="1"/>
    <col min="9" max="9" width="30" customWidth="1"/>
    <col min="10" max="10" width="44" customWidth="1"/>
    <col min="11" max="11" width="16" customWidth="1"/>
    <col min="12" max="13" width="14" customWidth="1"/>
    <col min="14" max="14" width="54" customWidth="1"/>
    <col min="15" max="15" width="30" customWidth="1"/>
  </cols>
  <sheetData>
    <row r="1" spans="1:15" x14ac:dyDescent="0.3">
      <c r="A1" s="1" t="s">
        <v>870</v>
      </c>
      <c r="B1" s="1" t="s">
        <v>871</v>
      </c>
      <c r="C1" s="1" t="s">
        <v>872</v>
      </c>
      <c r="D1" s="1" t="s">
        <v>873</v>
      </c>
      <c r="E1" s="1" t="s">
        <v>874</v>
      </c>
      <c r="F1" s="1" t="s">
        <v>40</v>
      </c>
      <c r="G1" s="1" t="s">
        <v>875</v>
      </c>
      <c r="H1" s="1" t="s">
        <v>876</v>
      </c>
      <c r="I1" s="1" t="s">
        <v>877</v>
      </c>
      <c r="J1" s="1" t="s">
        <v>878</v>
      </c>
      <c r="K1" s="1" t="s">
        <v>879</v>
      </c>
      <c r="L1" s="1" t="s">
        <v>880</v>
      </c>
      <c r="M1" s="1" t="s">
        <v>881</v>
      </c>
      <c r="N1" s="1" t="s">
        <v>882</v>
      </c>
      <c r="O1" s="1" t="s">
        <v>883</v>
      </c>
    </row>
    <row r="2" spans="1:15" x14ac:dyDescent="0.3">
      <c r="A2" s="2" t="s">
        <v>884</v>
      </c>
      <c r="B2" s="2"/>
      <c r="C2" s="2"/>
      <c r="D2" s="2"/>
      <c r="E2" s="2"/>
      <c r="F2" s="2" t="s">
        <v>885</v>
      </c>
      <c r="G2" s="2"/>
      <c r="H2" s="2"/>
      <c r="I2" s="2"/>
      <c r="J2" s="2"/>
      <c r="K2" s="2"/>
      <c r="L2" s="2"/>
      <c r="M2" s="2"/>
      <c r="N2" s="2"/>
      <c r="O2" s="2"/>
    </row>
    <row r="3" spans="1:15" x14ac:dyDescent="0.3">
      <c r="A3" s="2" t="s">
        <v>886</v>
      </c>
      <c r="B3" s="2"/>
      <c r="C3" s="2"/>
      <c r="D3" s="2"/>
      <c r="E3" s="2"/>
      <c r="F3" s="2" t="s">
        <v>885</v>
      </c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2" t="s">
        <v>887</v>
      </c>
      <c r="B4" s="2"/>
      <c r="C4" s="2"/>
      <c r="D4" s="2"/>
      <c r="E4" s="2"/>
      <c r="F4" s="2" t="s">
        <v>885</v>
      </c>
      <c r="G4" s="2"/>
      <c r="H4" s="2"/>
      <c r="I4" s="2"/>
      <c r="J4" s="2"/>
      <c r="K4" s="2"/>
      <c r="L4" s="2"/>
      <c r="M4" s="2"/>
      <c r="N4" s="2"/>
      <c r="O4" s="2"/>
    </row>
    <row r="5" spans="1:15" x14ac:dyDescent="0.3">
      <c r="A5" s="2" t="s">
        <v>888</v>
      </c>
      <c r="B5" s="2"/>
      <c r="C5" s="2"/>
      <c r="D5" s="2"/>
      <c r="E5" s="2"/>
      <c r="F5" s="2" t="s">
        <v>885</v>
      </c>
      <c r="G5" s="2"/>
      <c r="H5" s="2"/>
      <c r="I5" s="2"/>
      <c r="J5" s="2"/>
      <c r="K5" s="2"/>
      <c r="L5" s="2"/>
      <c r="M5" s="2"/>
      <c r="N5" s="2"/>
      <c r="O5" s="2"/>
    </row>
    <row r="6" spans="1:15" x14ac:dyDescent="0.3">
      <c r="A6" s="2" t="s">
        <v>889</v>
      </c>
      <c r="B6" s="2"/>
      <c r="C6" s="2"/>
      <c r="D6" s="2"/>
      <c r="E6" s="2"/>
      <c r="F6" s="2" t="s">
        <v>885</v>
      </c>
      <c r="G6" s="2"/>
      <c r="H6" s="2"/>
      <c r="I6" s="2"/>
      <c r="J6" s="2"/>
      <c r="K6" s="2"/>
      <c r="L6" s="2"/>
      <c r="M6" s="2"/>
      <c r="N6" s="2"/>
      <c r="O6" s="2"/>
    </row>
    <row r="7" spans="1:15" x14ac:dyDescent="0.3">
      <c r="A7" s="2" t="s">
        <v>890</v>
      </c>
      <c r="B7" s="2"/>
      <c r="C7" s="2"/>
      <c r="D7" s="2"/>
      <c r="E7" s="2"/>
      <c r="F7" s="2" t="s">
        <v>885</v>
      </c>
      <c r="G7" s="2"/>
      <c r="H7" s="2"/>
      <c r="I7" s="2"/>
      <c r="J7" s="2"/>
      <c r="K7" s="2"/>
      <c r="L7" s="2"/>
      <c r="M7" s="2"/>
      <c r="N7" s="2"/>
      <c r="O7" s="2"/>
    </row>
    <row r="8" spans="1:15" x14ac:dyDescent="0.3">
      <c r="A8" s="2" t="s">
        <v>891</v>
      </c>
      <c r="B8" s="2"/>
      <c r="C8" s="2"/>
      <c r="D8" s="2"/>
      <c r="E8" s="2"/>
      <c r="F8" s="2" t="s">
        <v>885</v>
      </c>
      <c r="G8" s="2"/>
      <c r="H8" s="2"/>
      <c r="I8" s="2"/>
      <c r="J8" s="2"/>
      <c r="K8" s="2"/>
      <c r="L8" s="2"/>
      <c r="M8" s="2"/>
      <c r="N8" s="2"/>
      <c r="O8" s="2"/>
    </row>
    <row r="9" spans="1:15" x14ac:dyDescent="0.3">
      <c r="A9" s="2" t="s">
        <v>892</v>
      </c>
      <c r="B9" s="2"/>
      <c r="C9" s="2"/>
      <c r="D9" s="2"/>
      <c r="E9" s="2"/>
      <c r="F9" s="2" t="s">
        <v>885</v>
      </c>
      <c r="G9" s="2"/>
      <c r="H9" s="2"/>
      <c r="I9" s="2"/>
      <c r="J9" s="2"/>
      <c r="K9" s="2"/>
      <c r="L9" s="2"/>
      <c r="M9" s="2"/>
      <c r="N9" s="2"/>
      <c r="O9" s="2"/>
    </row>
    <row r="10" spans="1:15" x14ac:dyDescent="0.3">
      <c r="A10" s="2" t="s">
        <v>893</v>
      </c>
      <c r="B10" s="2"/>
      <c r="C10" s="2"/>
      <c r="D10" s="2"/>
      <c r="E10" s="2"/>
      <c r="F10" s="2" t="s">
        <v>885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3">
      <c r="A11" s="2" t="s">
        <v>894</v>
      </c>
      <c r="B11" s="2"/>
      <c r="C11" s="2"/>
      <c r="D11" s="2"/>
      <c r="E11" s="2"/>
      <c r="F11" s="2" t="s">
        <v>885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3">
      <c r="A12" s="2" t="s">
        <v>895</v>
      </c>
      <c r="B12" s="2"/>
      <c r="C12" s="2"/>
      <c r="D12" s="2"/>
      <c r="E12" s="2"/>
      <c r="F12" s="2" t="s">
        <v>885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3">
      <c r="A13" s="2" t="s">
        <v>896</v>
      </c>
      <c r="B13" s="2"/>
      <c r="C13" s="2"/>
      <c r="D13" s="2"/>
      <c r="E13" s="2"/>
      <c r="F13" s="2" t="s">
        <v>885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3">
      <c r="A14" s="2" t="s">
        <v>897</v>
      </c>
      <c r="B14" s="2"/>
      <c r="C14" s="2"/>
      <c r="D14" s="2"/>
      <c r="E14" s="2"/>
      <c r="F14" s="2" t="s">
        <v>885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3">
      <c r="A15" s="2" t="s">
        <v>898</v>
      </c>
      <c r="B15" s="2"/>
      <c r="C15" s="2"/>
      <c r="D15" s="2"/>
      <c r="E15" s="2"/>
      <c r="F15" s="2" t="s">
        <v>885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3">
      <c r="A16" s="2" t="s">
        <v>899</v>
      </c>
      <c r="B16" s="2"/>
      <c r="C16" s="2"/>
      <c r="D16" s="2"/>
      <c r="E16" s="2"/>
      <c r="F16" s="2" t="s">
        <v>885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3">
      <c r="A17" s="2" t="s">
        <v>900</v>
      </c>
      <c r="B17" s="2"/>
      <c r="C17" s="2"/>
      <c r="D17" s="2"/>
      <c r="E17" s="2"/>
      <c r="F17" s="2" t="s">
        <v>885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3">
      <c r="A18" s="2" t="s">
        <v>901</v>
      </c>
      <c r="B18" s="2"/>
      <c r="C18" s="2"/>
      <c r="D18" s="2"/>
      <c r="E18" s="2"/>
      <c r="F18" s="2" t="s">
        <v>885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3">
      <c r="A19" s="2" t="s">
        <v>902</v>
      </c>
      <c r="B19" s="2"/>
      <c r="C19" s="2"/>
      <c r="D19" s="2"/>
      <c r="E19" s="2"/>
      <c r="F19" s="2" t="s">
        <v>885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3">
      <c r="A20" s="2" t="s">
        <v>903</v>
      </c>
      <c r="B20" s="2"/>
      <c r="C20" s="2"/>
      <c r="D20" s="2"/>
      <c r="E20" s="2"/>
      <c r="F20" s="2" t="s">
        <v>885</v>
      </c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3">
      <c r="A21" s="2" t="s">
        <v>904</v>
      </c>
      <c r="B21" s="2"/>
      <c r="C21" s="2"/>
      <c r="D21" s="2"/>
      <c r="E21" s="2"/>
      <c r="F21" s="2" t="s">
        <v>885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3">
      <c r="A22" s="2" t="s">
        <v>905</v>
      </c>
      <c r="B22" s="2"/>
      <c r="C22" s="2"/>
      <c r="D22" s="2"/>
      <c r="E22" s="2"/>
      <c r="F22" s="2" t="s">
        <v>885</v>
      </c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3">
      <c r="A23" s="2" t="s">
        <v>906</v>
      </c>
      <c r="B23" s="2"/>
      <c r="C23" s="2"/>
      <c r="D23" s="2"/>
      <c r="E23" s="2"/>
      <c r="F23" s="2" t="s">
        <v>885</v>
      </c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3">
      <c r="A24" s="2" t="s">
        <v>907</v>
      </c>
      <c r="B24" s="2"/>
      <c r="C24" s="2"/>
      <c r="D24" s="2"/>
      <c r="E24" s="2"/>
      <c r="F24" s="2" t="s">
        <v>885</v>
      </c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3">
      <c r="A25" s="2" t="s">
        <v>908</v>
      </c>
      <c r="B25" s="2"/>
      <c r="C25" s="2"/>
      <c r="D25" s="2"/>
      <c r="E25" s="2"/>
      <c r="F25" s="2" t="s">
        <v>885</v>
      </c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3">
      <c r="A26" s="2" t="s">
        <v>909</v>
      </c>
      <c r="B26" s="2"/>
      <c r="C26" s="2"/>
      <c r="D26" s="2"/>
      <c r="E26" s="2"/>
      <c r="F26" s="2" t="s">
        <v>885</v>
      </c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3">
      <c r="A27" s="2" t="s">
        <v>910</v>
      </c>
      <c r="B27" s="2"/>
      <c r="C27" s="2"/>
      <c r="D27" s="2"/>
      <c r="E27" s="2"/>
      <c r="F27" s="2" t="s">
        <v>885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3">
      <c r="A28" s="2" t="s">
        <v>911</v>
      </c>
      <c r="B28" s="2"/>
      <c r="C28" s="2"/>
      <c r="D28" s="2"/>
      <c r="E28" s="2"/>
      <c r="F28" s="2" t="s">
        <v>885</v>
      </c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3">
      <c r="A29" s="2" t="s">
        <v>912</v>
      </c>
      <c r="B29" s="2"/>
      <c r="C29" s="2"/>
      <c r="D29" s="2"/>
      <c r="E29" s="2"/>
      <c r="F29" s="2" t="s">
        <v>885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3">
      <c r="A30" s="2" t="s">
        <v>913</v>
      </c>
      <c r="B30" s="2"/>
      <c r="C30" s="2"/>
      <c r="D30" s="2"/>
      <c r="E30" s="2"/>
      <c r="F30" s="2" t="s">
        <v>885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3">
      <c r="A31" s="2" t="s">
        <v>914</v>
      </c>
      <c r="B31" s="2"/>
      <c r="C31" s="2"/>
      <c r="D31" s="2"/>
      <c r="E31" s="2"/>
      <c r="F31" s="2" t="s">
        <v>885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3">
      <c r="A32" s="2" t="s">
        <v>915</v>
      </c>
      <c r="B32" s="2"/>
      <c r="C32" s="2"/>
      <c r="D32" s="2"/>
      <c r="E32" s="2"/>
      <c r="F32" s="2" t="s">
        <v>885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3">
      <c r="A33" s="2" t="s">
        <v>916</v>
      </c>
      <c r="B33" s="2"/>
      <c r="C33" s="2"/>
      <c r="D33" s="2"/>
      <c r="E33" s="2"/>
      <c r="F33" s="2" t="s">
        <v>885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3">
      <c r="A34" s="2" t="s">
        <v>917</v>
      </c>
      <c r="B34" s="2"/>
      <c r="C34" s="2"/>
      <c r="D34" s="2"/>
      <c r="E34" s="2"/>
      <c r="F34" s="2" t="s">
        <v>885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3">
      <c r="A35" s="2" t="s">
        <v>918</v>
      </c>
      <c r="B35" s="2"/>
      <c r="C35" s="2"/>
      <c r="D35" s="2"/>
      <c r="E35" s="2"/>
      <c r="F35" s="2" t="s">
        <v>885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3">
      <c r="A36" s="2" t="s">
        <v>919</v>
      </c>
      <c r="B36" s="2"/>
      <c r="C36" s="2"/>
      <c r="D36" s="2"/>
      <c r="E36" s="2"/>
      <c r="F36" s="2" t="s">
        <v>885</v>
      </c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3">
      <c r="A37" s="2" t="s">
        <v>920</v>
      </c>
      <c r="B37" s="2"/>
      <c r="C37" s="2"/>
      <c r="D37" s="2"/>
      <c r="E37" s="2"/>
      <c r="F37" s="2" t="s">
        <v>885</v>
      </c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3">
      <c r="A38" s="2" t="s">
        <v>921</v>
      </c>
      <c r="B38" s="2"/>
      <c r="C38" s="2"/>
      <c r="D38" s="2"/>
      <c r="E38" s="2"/>
      <c r="F38" s="2" t="s">
        <v>885</v>
      </c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3">
      <c r="A39" s="2" t="s">
        <v>922</v>
      </c>
      <c r="B39" s="2"/>
      <c r="C39" s="2"/>
      <c r="D39" s="2"/>
      <c r="E39" s="2"/>
      <c r="F39" s="2" t="s">
        <v>885</v>
      </c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3">
      <c r="A40" s="2" t="s">
        <v>923</v>
      </c>
      <c r="B40" s="2"/>
      <c r="C40" s="2"/>
      <c r="D40" s="2"/>
      <c r="E40" s="2"/>
      <c r="F40" s="2" t="s">
        <v>885</v>
      </c>
      <c r="G40" s="2"/>
      <c r="H40" s="2"/>
      <c r="I40" s="2"/>
      <c r="J40" s="2"/>
      <c r="K40" s="2"/>
      <c r="L40" s="2"/>
      <c r="M40" s="2"/>
      <c r="N40" s="2"/>
      <c r="O40" s="2"/>
    </row>
    <row r="41" spans="1:15" x14ac:dyDescent="0.3">
      <c r="A41" s="2" t="s">
        <v>924</v>
      </c>
      <c r="B41" s="2"/>
      <c r="C41" s="2"/>
      <c r="D41" s="2"/>
      <c r="E41" s="2"/>
      <c r="F41" s="2" t="s">
        <v>885</v>
      </c>
      <c r="G41" s="2"/>
      <c r="H41" s="2"/>
      <c r="I41" s="2"/>
      <c r="J41" s="2"/>
      <c r="K41" s="2"/>
      <c r="L41" s="2"/>
      <c r="M41" s="2"/>
      <c r="N41" s="2"/>
      <c r="O41" s="2"/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4" customWidth="1"/>
    <col min="2" max="2" width="38" customWidth="1"/>
    <col min="3" max="3" width="12" customWidth="1"/>
    <col min="4" max="4" width="18" customWidth="1"/>
    <col min="5" max="5" width="58" customWidth="1"/>
    <col min="6" max="6" width="48" customWidth="1"/>
    <col min="7" max="7" width="36" customWidth="1"/>
  </cols>
  <sheetData>
    <row r="1" spans="1:7" x14ac:dyDescent="0.3">
      <c r="A1" s="1" t="s">
        <v>925</v>
      </c>
      <c r="B1" s="1" t="s">
        <v>926</v>
      </c>
      <c r="C1" s="1" t="s">
        <v>39</v>
      </c>
      <c r="D1" s="1" t="s">
        <v>927</v>
      </c>
      <c r="E1" s="1" t="s">
        <v>928</v>
      </c>
      <c r="F1" s="1" t="s">
        <v>929</v>
      </c>
      <c r="G1" s="1" t="s">
        <v>46</v>
      </c>
    </row>
    <row r="2" spans="1:7" x14ac:dyDescent="0.3">
      <c r="A2" s="2" t="s">
        <v>930</v>
      </c>
      <c r="B2" s="2" t="s">
        <v>931</v>
      </c>
      <c r="C2" s="2" t="s">
        <v>570</v>
      </c>
      <c r="D2" s="2" t="s">
        <v>932</v>
      </c>
      <c r="E2" s="2" t="s">
        <v>933</v>
      </c>
      <c r="F2" s="2" t="s">
        <v>934</v>
      </c>
      <c r="G2" s="2"/>
    </row>
    <row r="3" spans="1:7" x14ac:dyDescent="0.3">
      <c r="A3" s="2" t="s">
        <v>935</v>
      </c>
      <c r="B3" s="2" t="s">
        <v>936</v>
      </c>
      <c r="C3" s="2" t="s">
        <v>570</v>
      </c>
      <c r="D3" s="2" t="s">
        <v>932</v>
      </c>
      <c r="E3" s="2" t="s">
        <v>937</v>
      </c>
      <c r="F3" s="2" t="s">
        <v>938</v>
      </c>
      <c r="G3" s="2"/>
    </row>
    <row r="4" spans="1:7" x14ac:dyDescent="0.3">
      <c r="A4" s="2" t="s">
        <v>939</v>
      </c>
      <c r="B4" s="2" t="s">
        <v>940</v>
      </c>
      <c r="C4" s="2" t="s">
        <v>730</v>
      </c>
      <c r="D4" s="2" t="s">
        <v>941</v>
      </c>
      <c r="E4" s="2" t="s">
        <v>942</v>
      </c>
      <c r="F4" s="2" t="s">
        <v>943</v>
      </c>
      <c r="G4" s="2"/>
    </row>
    <row r="5" spans="1:7" x14ac:dyDescent="0.3">
      <c r="A5" s="2" t="s">
        <v>944</v>
      </c>
      <c r="B5" s="2" t="s">
        <v>945</v>
      </c>
      <c r="C5" s="2" t="s">
        <v>730</v>
      </c>
      <c r="D5" s="2" t="s">
        <v>941</v>
      </c>
      <c r="E5" s="2" t="s">
        <v>946</v>
      </c>
      <c r="F5" s="2" t="s">
        <v>947</v>
      </c>
      <c r="G5" s="2"/>
    </row>
    <row r="6" spans="1:7" x14ac:dyDescent="0.3">
      <c r="A6" s="2" t="s">
        <v>948</v>
      </c>
      <c r="B6" s="2" t="s">
        <v>949</v>
      </c>
      <c r="C6" s="2" t="s">
        <v>730</v>
      </c>
      <c r="D6" s="2" t="s">
        <v>941</v>
      </c>
      <c r="E6" s="2" t="s">
        <v>950</v>
      </c>
      <c r="F6" s="2" t="s">
        <v>951</v>
      </c>
      <c r="G6" s="2"/>
    </row>
    <row r="7" spans="1:7" x14ac:dyDescent="0.3">
      <c r="A7" s="2" t="s">
        <v>952</v>
      </c>
      <c r="B7" s="2" t="s">
        <v>953</v>
      </c>
      <c r="C7" s="2" t="s">
        <v>954</v>
      </c>
      <c r="D7" s="2" t="s">
        <v>932</v>
      </c>
      <c r="E7" s="2" t="s">
        <v>955</v>
      </c>
      <c r="F7" s="2" t="s">
        <v>956</v>
      </c>
      <c r="G7" s="2"/>
    </row>
    <row r="8" spans="1:7" x14ac:dyDescent="0.3">
      <c r="A8" s="2" t="s">
        <v>957</v>
      </c>
      <c r="B8" s="2" t="s">
        <v>958</v>
      </c>
      <c r="C8" s="2" t="s">
        <v>730</v>
      </c>
      <c r="D8" s="2" t="s">
        <v>941</v>
      </c>
      <c r="E8" s="2" t="s">
        <v>959</v>
      </c>
      <c r="F8" s="2" t="s">
        <v>960</v>
      </c>
      <c r="G8" s="2"/>
    </row>
    <row r="9" spans="1:7" x14ac:dyDescent="0.3">
      <c r="A9" s="2" t="s">
        <v>961</v>
      </c>
      <c r="B9" s="2" t="s">
        <v>962</v>
      </c>
      <c r="C9" s="2" t="s">
        <v>730</v>
      </c>
      <c r="D9" s="2" t="s">
        <v>941</v>
      </c>
      <c r="E9" s="2" t="s">
        <v>963</v>
      </c>
      <c r="F9" s="2" t="s">
        <v>964</v>
      </c>
      <c r="G9" s="2"/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4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sheetData>
    <row r="1" spans="1:2" x14ac:dyDescent="0.3">
      <c r="A1" s="1" t="s">
        <v>40</v>
      </c>
      <c r="B1" s="1" t="s">
        <v>965</v>
      </c>
    </row>
    <row r="2" spans="1:2" x14ac:dyDescent="0.3">
      <c r="A2" s="2" t="s">
        <v>54</v>
      </c>
      <c r="B2" s="2">
        <f>COUNTIF('Master Plan'!H:H,"Done")</f>
        <v>22</v>
      </c>
    </row>
    <row r="3" spans="1:2" ht="28.8" x14ac:dyDescent="0.3">
      <c r="A3" s="2" t="s">
        <v>966</v>
      </c>
      <c r="B3" s="2">
        <f>COUNTIF('Master Plan'!H:H,"In Progress")</f>
        <v>0</v>
      </c>
    </row>
    <row r="4" spans="1:2" x14ac:dyDescent="0.3">
      <c r="A4" s="2" t="s">
        <v>967</v>
      </c>
      <c r="B4" s="2">
        <f>COUNTIF('Master Plan'!H:H,"In Review")</f>
        <v>0</v>
      </c>
    </row>
    <row r="5" spans="1:2" x14ac:dyDescent="0.3">
      <c r="A5" s="2" t="s">
        <v>968</v>
      </c>
      <c r="B5" s="2">
        <f>COUNTIF('Master Plan'!H:H,"In QA")</f>
        <v>0</v>
      </c>
    </row>
    <row r="6" spans="1:2" x14ac:dyDescent="0.3">
      <c r="A6" s="2" t="s">
        <v>969</v>
      </c>
      <c r="B6" s="2">
        <f>COUNTIF('Master Plan'!H:H,"Blocked")</f>
        <v>0</v>
      </c>
    </row>
    <row r="7" spans="1:2" ht="28.8" x14ac:dyDescent="0.3">
      <c r="A7" s="2" t="s">
        <v>195</v>
      </c>
      <c r="B7" s="2">
        <f>COUNTIF('Master Plan'!H:H,"Not Started")</f>
        <v>74</v>
      </c>
    </row>
    <row r="8" spans="1:2" x14ac:dyDescent="0.3">
      <c r="A8" s="2" t="s">
        <v>941</v>
      </c>
      <c r="B8" s="2">
        <f>COUNTIF('Master Plan'!H:H,"Deferred")</f>
        <v>0</v>
      </c>
    </row>
    <row r="9" spans="1:2" x14ac:dyDescent="0.3">
      <c r="A9" s="2"/>
      <c r="B9" s="2"/>
    </row>
    <row r="10" spans="1:2" ht="28.8" x14ac:dyDescent="0.3">
      <c r="A10" s="2" t="s">
        <v>39</v>
      </c>
      <c r="B10" s="2" t="s">
        <v>970</v>
      </c>
    </row>
    <row r="11" spans="1:2" x14ac:dyDescent="0.3">
      <c r="A11" s="2" t="s">
        <v>53</v>
      </c>
      <c r="B11" s="2">
        <f>COUNTIFS('Master Plan'!G:G,"P0",'Master Plan'!H:H,"&lt;&gt;Done")</f>
        <v>44</v>
      </c>
    </row>
    <row r="12" spans="1:2" x14ac:dyDescent="0.3">
      <c r="A12" s="2" t="s">
        <v>117</v>
      </c>
      <c r="B12" s="2">
        <f>COUNTIFS('Master Plan'!G:G,"P1",'Master Plan'!H:H,"&lt;&gt;Done")</f>
        <v>15</v>
      </c>
    </row>
    <row r="13" spans="1:2" x14ac:dyDescent="0.3">
      <c r="A13" s="2" t="s">
        <v>570</v>
      </c>
      <c r="B13" s="2">
        <f>COUNTIFS('Master Plan'!G:G,"P2",'Master Plan'!H:H,"&lt;&gt;Done")</f>
        <v>15</v>
      </c>
    </row>
    <row r="14" spans="1:2" x14ac:dyDescent="0.3">
      <c r="A14" s="2" t="s">
        <v>730</v>
      </c>
      <c r="B14" s="2">
        <f>COUNTIFS('Master Plan'!G:G,"P3",'Master Plan'!H:H,"&lt;&gt;Done")</f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"/>
  <sheetViews>
    <sheetView showGridLines="0" workbookViewId="0">
      <pane ySplit="1" topLeftCell="A2" activePane="bottomLeft" state="frozen"/>
      <selection pane="bottomLeft"/>
    </sheetView>
  </sheetViews>
  <sheetFormatPr defaultRowHeight="14.4" x14ac:dyDescent="0.3"/>
  <sheetData>
    <row r="1" spans="1:4" ht="28.8" x14ac:dyDescent="0.3">
      <c r="A1" s="1" t="s">
        <v>971</v>
      </c>
      <c r="B1" s="1" t="s">
        <v>972</v>
      </c>
      <c r="C1" s="1" t="s">
        <v>973</v>
      </c>
      <c r="D1" s="1" t="s">
        <v>974</v>
      </c>
    </row>
    <row r="2" spans="1:4" ht="72" x14ac:dyDescent="0.3">
      <c r="A2" s="2" t="s">
        <v>54</v>
      </c>
      <c r="B2" s="2" t="s">
        <v>53</v>
      </c>
      <c r="C2" s="2" t="s">
        <v>48</v>
      </c>
      <c r="D2" s="2" t="s">
        <v>49</v>
      </c>
    </row>
    <row r="3" spans="1:4" ht="57.6" x14ac:dyDescent="0.3">
      <c r="A3" s="2" t="s">
        <v>966</v>
      </c>
      <c r="B3" s="2" t="s">
        <v>117</v>
      </c>
      <c r="C3" s="2" t="s">
        <v>53</v>
      </c>
      <c r="D3" s="2" t="s">
        <v>214</v>
      </c>
    </row>
    <row r="4" spans="1:4" ht="43.2" x14ac:dyDescent="0.3">
      <c r="A4" s="2" t="s">
        <v>967</v>
      </c>
      <c r="B4" s="2" t="s">
        <v>570</v>
      </c>
      <c r="C4" s="2" t="s">
        <v>117</v>
      </c>
      <c r="D4" s="2" t="s">
        <v>235</v>
      </c>
    </row>
    <row r="5" spans="1:4" ht="43.2" x14ac:dyDescent="0.3">
      <c r="A5" s="2" t="s">
        <v>968</v>
      </c>
      <c r="B5" s="2" t="s">
        <v>730</v>
      </c>
      <c r="C5" s="2" t="s">
        <v>570</v>
      </c>
      <c r="D5" s="2" t="s">
        <v>65</v>
      </c>
    </row>
    <row r="6" spans="1:4" ht="43.2" x14ac:dyDescent="0.3">
      <c r="A6" s="2" t="s">
        <v>969</v>
      </c>
      <c r="B6" s="2"/>
      <c r="C6" s="2" t="s">
        <v>730</v>
      </c>
      <c r="D6" s="2" t="s">
        <v>88</v>
      </c>
    </row>
    <row r="7" spans="1:4" ht="43.2" x14ac:dyDescent="0.3">
      <c r="A7" s="2" t="s">
        <v>195</v>
      </c>
      <c r="B7" s="2"/>
      <c r="C7" s="2" t="s">
        <v>732</v>
      </c>
      <c r="D7" s="2" t="s">
        <v>80</v>
      </c>
    </row>
    <row r="8" spans="1:4" ht="57.6" x14ac:dyDescent="0.3">
      <c r="A8" s="2" t="s">
        <v>941</v>
      </c>
      <c r="B8" s="2"/>
      <c r="C8" s="2" t="s">
        <v>734</v>
      </c>
      <c r="D8" s="2" t="s">
        <v>325</v>
      </c>
    </row>
    <row r="9" spans="1:4" ht="28.8" x14ac:dyDescent="0.3">
      <c r="A9" s="2"/>
      <c r="B9" s="2"/>
      <c r="C9" s="2" t="s">
        <v>736</v>
      </c>
      <c r="D9" s="2" t="s">
        <v>478</v>
      </c>
    </row>
    <row r="10" spans="1:4" ht="43.2" x14ac:dyDescent="0.3">
      <c r="A10" s="2"/>
      <c r="B10" s="2"/>
      <c r="C10" s="2" t="s">
        <v>738</v>
      </c>
      <c r="D10" s="2" t="s">
        <v>128</v>
      </c>
    </row>
    <row r="11" spans="1:4" ht="43.2" x14ac:dyDescent="0.3">
      <c r="A11" s="2"/>
      <c r="B11" s="2"/>
      <c r="C11" s="2"/>
      <c r="D11" s="2" t="s">
        <v>187</v>
      </c>
    </row>
    <row r="12" spans="1:4" ht="57.6" x14ac:dyDescent="0.3">
      <c r="A12" s="2"/>
      <c r="B12" s="2"/>
      <c r="C12" s="2"/>
      <c r="D12" s="2" t="s">
        <v>140</v>
      </c>
    </row>
    <row r="13" spans="1:4" ht="57.6" x14ac:dyDescent="0.3">
      <c r="A13" s="2"/>
      <c r="B13" s="2"/>
      <c r="C13" s="2"/>
      <c r="D13" s="2" t="s">
        <v>102</v>
      </c>
    </row>
    <row r="14" spans="1:4" ht="57.6" x14ac:dyDescent="0.3">
      <c r="A14" s="2"/>
      <c r="B14" s="2"/>
      <c r="C14" s="2"/>
      <c r="D14" s="2" t="s">
        <v>588</v>
      </c>
    </row>
    <row r="15" spans="1:4" ht="57.6" x14ac:dyDescent="0.3">
      <c r="A15" s="2"/>
      <c r="B15" s="2"/>
      <c r="C15" s="2"/>
      <c r="D15" s="2" t="s">
        <v>33</v>
      </c>
    </row>
    <row r="16" spans="1:4" ht="43.2" x14ac:dyDescent="0.3">
      <c r="A16" s="2"/>
      <c r="B16" s="2"/>
      <c r="C16" s="2"/>
      <c r="D16" s="2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Dashboard</vt:lpstr>
      <vt:lpstr>Master Plan</vt:lpstr>
      <vt:lpstr>Done Inventory</vt:lpstr>
      <vt:lpstr>Remaining Work</vt:lpstr>
      <vt:lpstr>Vision Map</vt:lpstr>
      <vt:lpstr>Timeline</vt:lpstr>
      <vt:lpstr>Dependencies</vt:lpstr>
      <vt:lpstr>Launch Gates</vt:lpstr>
      <vt:lpstr>Risk Register</vt:lpstr>
      <vt:lpstr>Metrics</vt:lpstr>
      <vt:lpstr>Research Tracker</vt:lpstr>
      <vt:lpstr>Backlog</vt:lpstr>
      <vt:lpstr>Summary Data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ContexureEarth Tutor Professional Project Planner</dc:title>
  <dc:creator>Codex</dc:creator>
  <cp:lastModifiedBy>Rick Sarkar</cp:lastModifiedBy>
  <dcterms:created xsi:type="dcterms:W3CDTF">2026-06-13T10:41:56Z</dcterms:created>
  <dcterms:modified xsi:type="dcterms:W3CDTF">2026-06-13T15:26:56Z</dcterms:modified>
</cp:coreProperties>
</file>