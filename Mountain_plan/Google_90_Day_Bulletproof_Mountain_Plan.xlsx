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izSaarthi_AI\Mountain_plan\"/>
    </mc:Choice>
  </mc:AlternateContent>
  <xr:revisionPtr revIDLastSave="0" documentId="8_{B5461FA8-D5B6-4F63-9A6A-046AB271E8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ecutive Dashboard" sheetId="1" r:id="rId1"/>
    <sheet name="North Star &amp; Role" sheetId="2" r:id="rId2"/>
    <sheet name="90-Day Program" sheetId="3" r:id="rId3"/>
    <sheet name="Daily 2-Hour Plan" sheetId="4" r:id="rId4"/>
    <sheet name="Product Portfolio" sheetId="5" r:id="rId5"/>
    <sheet name="Design Partner Program" sheetId="6" r:id="rId6"/>
    <sheet name="Competitive Landscape" sheetId="7" r:id="rId7"/>
    <sheet name="Google Commercial Value" sheetId="8" r:id="rId8"/>
    <sheet name="Founder Decision Log" sheetId="9" r:id="rId9"/>
    <sheet name="Historical Portfolio" sheetId="10" r:id="rId10"/>
    <sheet name="IP Clean-Room Review" sheetId="11" r:id="rId11"/>
    <sheet name="Codex Execution Backlog" sheetId="12" r:id="rId12"/>
    <sheet name="Launch &amp; Prominence" sheetId="13" r:id="rId13"/>
    <sheet name="Google Launch Package" sheetId="14" r:id="rId14"/>
    <sheet name="List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8" l="1"/>
  <c r="B17" i="8"/>
  <c r="D17" i="8" s="1"/>
  <c r="C16" i="8"/>
  <c r="B16" i="8"/>
  <c r="D16" i="8" s="1"/>
  <c r="E15" i="2"/>
  <c r="E14" i="2"/>
  <c r="E13" i="2"/>
  <c r="E12" i="2"/>
  <c r="E11" i="2"/>
  <c r="E10" i="2"/>
  <c r="F17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F18" i="1" l="1"/>
  <c r="G17" i="1"/>
  <c r="G18" i="1" s="1"/>
</calcChain>
</file>

<file path=xl/sharedStrings.xml><?xml version="1.0" encoding="utf-8"?>
<sst xmlns="http://schemas.openxmlformats.org/spreadsheetml/2006/main" count="2177" uniqueCount="1182">
  <si>
    <t>Google 90-Day Mountain Plan — Enterprise AI Product &amp; Transformation Leader</t>
  </si>
  <si>
    <t>Strategic decision</t>
  </si>
  <si>
    <t>Definition</t>
  </si>
  <si>
    <t>Readiness dimension</t>
  </si>
  <si>
    <t>Weight</t>
  </si>
  <si>
    <t>Target</t>
  </si>
  <si>
    <t>Actual</t>
  </si>
  <si>
    <t>Weighted score</t>
  </si>
  <si>
    <t>Signal</t>
  </si>
  <si>
    <t>Evidence source</t>
  </si>
  <si>
    <t>Primary Google contribution</t>
  </si>
  <si>
    <t>Identify expensive enterprise problems, convert them into repeatable Google-centered AI products, and win CXO adoption.</t>
  </si>
  <si>
    <t>Flagship product quality</t>
  </si>
  <si>
    <t>Product Portfolio</t>
  </si>
  <si>
    <t>Primary role hypothesis</t>
  </si>
  <si>
    <t>Pursuit AI Lead / AI Transformation Lead / Industry Solutions or Value Creation Lead.</t>
  </si>
  <si>
    <t>External customer validation</t>
  </si>
  <si>
    <t>Design Partner Program</t>
  </si>
  <si>
    <t>Concrete India parallel route</t>
  </si>
  <si>
    <t>Consulting Account Lead or equivalent senior Google Cloud transformation role.</t>
  </si>
  <si>
    <t>Google-specific commercial thesis</t>
  </si>
  <si>
    <t>Google Commercial Value</t>
  </si>
  <si>
    <t>Compensation condition</t>
  </si>
  <si>
    <t>Target role must plausibly support ₹1 crore+ annual total compensation; do not enter through a clearly under-level role.</t>
  </si>
  <si>
    <t>Historical product evidence</t>
  </si>
  <si>
    <t>Historical Portfolio</t>
  </si>
  <si>
    <t>90-day founder capacity</t>
  </si>
  <si>
    <t>180 hours: two high-intensity hours every day.</t>
  </si>
  <si>
    <t>Technical fluency and architecture defence</t>
  </si>
  <si>
    <t>90-Day Program</t>
  </si>
  <si>
    <t>Flagship outcome</t>
  </si>
  <si>
    <t>Decision360 public beta with validated buyer workflows and credible technical, economic and governance evidence.</t>
  </si>
  <si>
    <t>Original thought leadership</t>
  </si>
  <si>
    <t>Launch &amp; Prominence</t>
  </si>
  <si>
    <t>Original market contribution</t>
  </si>
  <si>
    <t>Decision Agent Benchmark public alpha and position paper.</t>
  </si>
  <si>
    <t>Competitive differentiation</t>
  </si>
  <si>
    <t>Competitive Landscape</t>
  </si>
  <si>
    <t>Supporting proof</t>
  </si>
  <si>
    <t>Transformation Mapper prototype; Commerce Growth vertical demonstration.</t>
  </si>
  <si>
    <t>Senior role and compensation calibration</t>
  </si>
  <si>
    <t>North Star &amp; Role</t>
  </si>
  <si>
    <t>Readiness target</t>
  </si>
  <si>
    <t>Earn internal sponsorship for a named senior role—not merely submit applications.</t>
  </si>
  <si>
    <t>IP / clean-room confidence</t>
  </si>
  <si>
    <t>IP Clean-Room Review</t>
  </si>
  <si>
    <t>Non-negotiable</t>
  </si>
  <si>
    <t>External validation, clean-room IP review, Google commercial logic and personal decision evidence.</t>
  </si>
  <si>
    <t>Internal sponsorship</t>
  </si>
  <si>
    <t>Google Launch Package</t>
  </si>
  <si>
    <t>Bulletproof gate</t>
  </si>
  <si>
    <t>Due day</t>
  </si>
  <si>
    <t>Pass condition</t>
  </si>
  <si>
    <t>Program score</t>
  </si>
  <si>
    <t>Formula</t>
  </si>
  <si>
    <t>Current</t>
  </si>
  <si>
    <t>Decision</t>
  </si>
  <si>
    <t>G1 Role truth</t>
  </si>
  <si>
    <t>Two insiders independently validate role family, seniority and likely compensation path.</t>
  </si>
  <si>
    <t>Weighted readiness</t>
  </si>
  <si>
    <t>Sum of weighted scores</t>
  </si>
  <si>
    <t>G2 Problem truth</t>
  </si>
  <si>
    <t>At least six relevant practitioners confirm the problem, buyer and current failure.</t>
  </si>
  <si>
    <t>Launch rule</t>
  </si>
  <si>
    <t>≥80 strong launch; 70–79 selective; &lt;70 delay formal launch</t>
  </si>
  <si>
    <t>G3 Product truth</t>
  </si>
  <si>
    <t>Decision360 completes five workflows and at least three reviewers use it without live guidance.</t>
  </si>
  <si>
    <t>G4 Commercial truth</t>
  </si>
  <si>
    <t>Google-specific land-and-expand economics and competitive advantage survive expert challenge.</t>
  </si>
  <si>
    <t>G5 Evidence truth</t>
  </si>
  <si>
    <t>Evaluation, security, IP and decision log support every public claim.</t>
  </si>
  <si>
    <t>G6 Sponsorship truth</t>
  </si>
  <si>
    <t>A relevant Google insider agrees to sponsor an introduction to a named team or role.</t>
  </si>
  <si>
    <t>G7 Public launch</t>
  </si>
  <si>
    <t>Flagship beta, benchmark alpha, portfolio site, paper, demo and launch sequence are public-ready.</t>
  </si>
  <si>
    <t>Priority</t>
  </si>
  <si>
    <t>Role family</t>
  </si>
  <si>
    <t>Why this is your contribution</t>
  </si>
  <si>
    <t>Must prove</t>
  </si>
  <si>
    <t>Disqualifier</t>
  </si>
  <si>
    <t>Internal validation required</t>
  </si>
  <si>
    <t>Compensation question</t>
  </si>
  <si>
    <t>Status</t>
  </si>
  <si>
    <t>Evidence</t>
  </si>
  <si>
    <t>Pursuit AI Lead / AI Transformation Lead</t>
  </si>
  <si>
    <t>Own executive problem discovery, AI transformation strategy, repeatable offers and commercial pursuit.</t>
  </si>
  <si>
    <t>Google Cloud fluency; AI services roadmap; proposal/pursuit ownership; repeatable assets.</t>
  </si>
  <si>
    <t>Profile appears as generic analytics consultant or idea generator.</t>
  </si>
  <si>
    <t>Current team existence, India/region scope, level, hiring bar and sponsor.</t>
  </si>
  <si>
    <t>Can this role at the calibrated level exceed ₹1 crore TC in India?</t>
  </si>
  <si>
    <t>Not Started</t>
  </si>
  <si>
    <t>Industry Solutions / Value Creation Lead</t>
  </si>
  <si>
    <t>Turn Google technology into measurable CPG, retail and manufacturing outcomes.</t>
  </si>
  <si>
    <t>Reusable industry solution; economic model; CXO narrative; partner/field usability.</t>
  </si>
  <si>
    <t>No proof of scale beyond one bespoke client.</t>
  </si>
  <si>
    <t>Which team owns CPG/manufacturing industry productization?</t>
  </si>
  <si>
    <t>What level maps to regional or portfolio ownership?</t>
  </si>
  <si>
    <t>Consulting Account Lead</t>
  </si>
  <si>
    <t>Orchestrate strategic transformation journeys and trusted-advisor relationships.</t>
  </si>
  <si>
    <t>Cloud/digital implementation leadership; executive governance; delivery orchestration.</t>
  </si>
  <si>
    <t>Weak evidence of cloud transformation delivery or commercial accountability.</t>
  </si>
  <si>
    <t>Role level, account size, quota/pipeline expectations and India compensation.</t>
  </si>
  <si>
    <t>Is this a senior enough route without resetting scope?</t>
  </si>
  <si>
    <t>Senior Outbound Product / Industry Product Strategy</t>
  </si>
  <si>
    <t>Bring customer problems into product strategy, launch and adoption.</t>
  </si>
  <si>
    <t>Roadmap ownership; prioritization; product launch; adoption and market evidence.</t>
  </si>
  <si>
    <t>Only prototypes, no product discipline or adoption proof.</t>
  </si>
  <si>
    <t>Whether industry/outbound PM roles value non-traditional PM history.</t>
  </si>
  <si>
    <t>Can product scope support senior level?</t>
  </si>
  <si>
    <t>Practice Customer Engineer — Applied AI</t>
  </si>
  <si>
    <t>Technical-commercial adjacent route; useful only if senior strategic scope.</t>
  </si>
  <si>
    <t>Architecture defence, workshops, prototypes and Google Cloud credibility.</t>
  </si>
  <si>
    <t>Role is too presales-technical or under-level for your objective.</t>
  </si>
  <si>
    <t>Whether role allows industry solution creation and compensation target.</t>
  </si>
  <si>
    <t>Does advanced CE scope cross ₹1 crore TC?</t>
  </si>
  <si>
    <t>Calibration question</t>
  </si>
  <si>
    <t>Friend 1 answer</t>
  </si>
  <si>
    <t>Insider 2 answer</t>
  </si>
  <si>
    <t>Recruiter/HM answer</t>
  </si>
  <si>
    <t>Agreement?</t>
  </si>
  <si>
    <t>Risk</t>
  </si>
  <si>
    <t>Action</t>
  </si>
  <si>
    <t>Which team would most value someone who discovers enterprise problems and productizes repeatable AI solutions?</t>
  </si>
  <si>
    <t>High</t>
  </si>
  <si>
    <t>Obtain two independent answers</t>
  </si>
  <si>
    <t>Which level is realistic given 17+ years but limited formal Google Cloud tenure?</t>
  </si>
  <si>
    <t>Critical</t>
  </si>
  <si>
    <t>Do not apply until calibrated</t>
  </si>
  <si>
    <t>What evidence would make an internal sponsor personally comfortable introducing me?</t>
  </si>
  <si>
    <t>Convert answer into launch gates</t>
  </si>
  <si>
    <t>How much cloud architecture depth is tested for transformation/pursuit roles?</t>
  </si>
  <si>
    <t>Create fluency syllabus</t>
  </si>
  <si>
    <t>Which exact India or APAC roles can plausibly cross ₹1 crore TC?</t>
  </si>
  <si>
    <t>Reject structurally under-level paths</t>
  </si>
  <si>
    <t>What distinguishes people who succeed from consultants who fail after joining?</t>
  </si>
  <si>
    <t>Add operating-model evidence</t>
  </si>
  <si>
    <t>Current official evidence</t>
  </si>
  <si>
    <t>What it means</t>
  </si>
  <si>
    <t>URL</t>
  </si>
  <si>
    <t>Plan implication</t>
  </si>
  <si>
    <t>Pursuit AI Lead role emphasizes executive problem discovery, holistic AI transformation strategy, repeatable solutions and services pursuits.</t>
  </si>
  <si>
    <t>Directionally closest role family, but the current listing found is US-based and mid-level.</t>
  </si>
  <si>
    <t>https://www.google.com/about/careers/applications/jobs/results/89911139634160326-pursuit-ai-lead/</t>
  </si>
  <si>
    <t>Use as contribution archetype, not assumed India vacancy or level.</t>
  </si>
  <si>
    <t>Consulting Account Lead in Bengaluru/Mumbai is marked Advanced and asks for 10 years consulting/IT services plus cloud/digital implementation experience.</t>
  </si>
  <si>
    <t>Concrete current India senior route, but cloud implementation evidence is mandatory.</t>
  </si>
  <si>
    <t>https://www.google.com/about/careers/applications/jobs/results/137289443466715846-consulting-account-lead/</t>
  </si>
  <si>
    <t>Maintain as parallel role and strengthen implementation story.</t>
  </si>
  <si>
    <t>Google ADK supports tools, workflow/multi-agent orchestration, evaluation and deployment to Runtime, Cloud Run or GKE.</t>
  </si>
  <si>
    <t>The products should use Google platform capabilities rather than recreate them.</t>
  </si>
  <si>
    <t>https://docs.cloud.google.com/gemini-enterprise-agent-platform/build/adk</t>
  </si>
  <si>
    <t>Focus differentiation on domain workflow, economics and decision quality.</t>
  </si>
  <si>
    <t>Google agent evaluation already covers final responses, task success, safety, trajectories, synthetic scenarios and monitoring.</t>
  </si>
  <si>
    <t>The benchmark must extend—not duplicate—Google evaluation.</t>
  </si>
  <si>
    <t>https://docs.cloud.google.com/gemini-enterprise-agent-platform/optimize/evaluation/agent-evaluation</t>
  </si>
  <si>
    <t>Narrow benchmark to regret, calibration, realized value, adoption and governance.</t>
  </si>
  <si>
    <t>Phase</t>
  </si>
  <si>
    <t>Days</t>
  </si>
  <si>
    <t>Founder hours</t>
  </si>
  <si>
    <t>Primary outcome</t>
  </si>
  <si>
    <t>Decision360</t>
  </si>
  <si>
    <t>Agent Benchmark</t>
  </si>
  <si>
    <t>Transformation Mapper</t>
  </si>
  <si>
    <t>Commerce Growth</t>
  </si>
  <si>
    <t>External proof</t>
  </si>
  <si>
    <t>Google proof</t>
  </si>
  <si>
    <t>Hard gate</t>
  </si>
  <si>
    <t>Failure response</t>
  </si>
  <si>
    <t>Phase 1 — Truth before build</t>
  </si>
  <si>
    <t>1–14</t>
  </si>
  <si>
    <t>Role, buyer, problem, IP and competitive hypotheses validated.</t>
  </si>
  <si>
    <t>PRD and five buyer workflows</t>
  </si>
  <si>
    <t>Metric thesis and novelty boundary</t>
  </si>
  <si>
    <t>Problem and scoring thesis</t>
  </si>
  <si>
    <t>Market thesis only</t>
  </si>
  <si>
    <t>6 interviews</t>
  </si>
  <si>
    <t>2 insider calibrations</t>
  </si>
  <si>
    <t>G1 and G2</t>
  </si>
  <si>
    <t>Rewrite scope; no full build</t>
  </si>
  <si>
    <t>Phase 2 — Shared spine + flagship</t>
  </si>
  <si>
    <t>15–35</t>
  </si>
  <si>
    <t>Shared platform and Decision360 thin vertical slice.</t>
  </si>
  <si>
    <t>Data, risk, scenario, recommendation, approval</t>
  </si>
  <si>
    <t>Task/trace schema</t>
  </si>
  <si>
    <t>Evidence ingestion spike</t>
  </si>
  <si>
    <t>Catalog data spike</t>
  </si>
  <si>
    <t>3 repeat reviewers</t>
  </si>
  <si>
    <t>Architecture review</t>
  </si>
  <si>
    <t>Technical spine works</t>
  </si>
  <si>
    <t>Shift 80% to flagship</t>
  </si>
  <si>
    <t>Phase 3 — Flagship public beta</t>
  </si>
  <si>
    <t>36–50</t>
  </si>
  <si>
    <t>Decision360 works without live handholding.</t>
  </si>
  <si>
    <t>Five workflows, evaluation and value case</t>
  </si>
  <si>
    <t>Metric plugins alpha</t>
  </si>
  <si>
    <t>Thin extraction prototype</t>
  </si>
  <si>
    <t>Vertical specification</t>
  </si>
  <si>
    <t>3 unguided tests</t>
  </si>
  <si>
    <t>Google/architect review</t>
  </si>
  <si>
    <t>G3</t>
  </si>
  <si>
    <t>Cut features until reliable</t>
  </si>
  <si>
    <t>Phase 4 — Originality and portfolio</t>
  </si>
  <si>
    <t>51–65</t>
  </si>
  <si>
    <t>Benchmark alpha plus Transformation Mapper prototype.</t>
  </si>
  <si>
    <t>Polish and pilot pack</t>
  </si>
  <si>
    <t>40-task benchmark alpha</t>
  </si>
  <si>
    <t>Evidence→opportunity→score demo</t>
  </si>
  <si>
    <t>Athlete nutrition demo</t>
  </si>
  <si>
    <t>4 expert reviews</t>
  </si>
  <si>
    <t>Commercial challenge session</t>
  </si>
  <si>
    <t>G4</t>
  </si>
  <si>
    <t>Drop Commerce extras first</t>
  </si>
  <si>
    <t>Phase 5 — Evidence and senior narrative</t>
  </si>
  <si>
    <t>66–78</t>
  </si>
  <si>
    <t>Competitive, commercial, historical and technical evidence is complete.</t>
  </si>
  <si>
    <t>Case study and defensibility</t>
  </si>
  <si>
    <t>Paper and findings</t>
  </si>
  <si>
    <t>Case study</t>
  </si>
  <si>
    <t>Market paper section</t>
  </si>
  <si>
    <t>3 second-round reviewers</t>
  </si>
  <si>
    <t>Role sponsor review</t>
  </si>
  <si>
    <t>G5</t>
  </si>
  <si>
    <t>Delay public claims</t>
  </si>
  <si>
    <t>Phase 6 — Sponsorship and launch</t>
  </si>
  <si>
    <t>79–90</t>
  </si>
  <si>
    <t>Public launch package and named-role sponsorship.</t>
  </si>
  <si>
    <t>Public beta</t>
  </si>
  <si>
    <t>Public alpha</t>
  </si>
  <si>
    <t>Prototype</t>
  </si>
  <si>
    <t>Vertical demo</t>
  </si>
  <si>
    <t>Testimonials/quotes where permitted</t>
  </si>
  <si>
    <t>Named-team introduction</t>
  </si>
  <si>
    <t>G6 and G7</t>
  </si>
  <si>
    <t>Selective launch only</t>
  </si>
  <si>
    <t>Technical fluency domain</t>
  </si>
  <si>
    <t>Required level</t>
  </si>
  <si>
    <t>Proof</t>
  </si>
  <si>
    <t>Explain in 5 min?</t>
  </si>
  <si>
    <t>Can challenge engineer?</t>
  </si>
  <si>
    <t>Hands-on exercise</t>
  </si>
  <si>
    <t>Failure mode</t>
  </si>
  <si>
    <t>Remediation</t>
  </si>
  <si>
    <t>Google Cloud data and agent architecture</t>
  </si>
  <si>
    <t>Architecturally fluent</t>
  </si>
  <si>
    <t>End-to-end diagrams and five ADRs</t>
  </si>
  <si>
    <t>No</t>
  </si>
  <si>
    <t>Deploy one agent workflow</t>
  </si>
  <si>
    <t>Cannot defend stack choices</t>
  </si>
  <si>
    <t>Daily architecture drills</t>
  </si>
  <si>
    <t>BigQuery, IAM, Cloud Run/Agent Runtime</t>
  </si>
  <si>
    <t>Working fluency</t>
  </si>
  <si>
    <t>Secure demo and cost model</t>
  </si>
  <si>
    <t>Run/deploy/debug core service</t>
  </si>
  <si>
    <t>Looks like deck-only leader</t>
  </si>
  <si>
    <t>One hands-on lab per service</t>
  </si>
  <si>
    <t>ADK tools, workflows and evaluation</t>
  </si>
  <si>
    <t>Tool agent and benchmark runner</t>
  </si>
  <si>
    <t>Implement and test one tool flow</t>
  </si>
  <si>
    <t>Cannot explain agent failures</t>
  </si>
  <si>
    <t>Review traces and failure taxonomy</t>
  </si>
  <si>
    <t>RAG, evidence, text-to-SQL and safety</t>
  </si>
  <si>
    <t>Decision360 evidence and safety tests</t>
  </si>
  <si>
    <t>Create ten adversarial cases</t>
  </si>
  <si>
    <t>Generic AI claims</t>
  </si>
  <si>
    <t>Red-team weekly</t>
  </si>
  <si>
    <t>Hybrid Azure-heavy enterprise integration</t>
  </si>
  <si>
    <t>Strategic fluency</t>
  </si>
  <si>
    <t>Integration pattern and migration-neutral pitch</t>
  </si>
  <si>
    <t>Draw Azure+GCP coexistence architecture</t>
  </si>
  <si>
    <t>Sounds anti-Azure or unrealistic</t>
  </si>
  <si>
    <t>Competitor/interoperability review</t>
  </si>
  <si>
    <t>Cost, latency, scale and operations</t>
  </si>
  <si>
    <t>Unit economics and p95 telemetry</t>
  </si>
  <si>
    <t>Estimate workflow cost and bottlenecks</t>
  </si>
  <si>
    <t>No credible production story</t>
  </si>
  <si>
    <t>Instrument all demos</t>
  </si>
  <si>
    <t>Day</t>
  </si>
  <si>
    <t>Week</t>
  </si>
  <si>
    <t>Date</t>
  </si>
  <si>
    <t>Primary focus</t>
  </si>
  <si>
    <t>Hour 1 — Rick</t>
  </si>
  <si>
    <t>Hour 2 — Rick</t>
  </si>
  <si>
    <t>Codex overnight handoff</t>
  </si>
  <si>
    <t>Required evidence</t>
  </si>
  <si>
    <t>Gate contribution</t>
  </si>
  <si>
    <t>Hours</t>
  </si>
  <si>
    <t>Blocker / learning</t>
  </si>
  <si>
    <t>Truth before build</t>
  </si>
  <si>
    <t>Role calibration</t>
  </si>
  <si>
    <t>Prepare targeted insider questions and exact contribution thesis.</t>
  </si>
  <si>
    <t>Conduct/review conversation; update role and level assumptions.</t>
  </si>
  <si>
    <t>Update role dossier and decisions_needed.md</t>
  </si>
  <si>
    <t>Written answer or scheduled conversation</t>
  </si>
  <si>
    <t>G1</t>
  </si>
  <si>
    <t>Design partner discovery</t>
  </si>
  <si>
    <t>Prepare buyer-specific interview and current-state hypothesis.</t>
  </si>
  <si>
    <t>Conduct interview or synthesize evidence into PRD changes.</t>
  </si>
  <si>
    <t>Update interview evidence and backlog deltas</t>
  </si>
  <si>
    <t>Interview notes plus changed assumption</t>
  </si>
  <si>
    <t>G2</t>
  </si>
  <si>
    <t>Competitive truth</t>
  </si>
  <si>
    <t>Compare one competitor against the product workflow, economics and lock-in.</t>
  </si>
  <si>
    <t>Write why the product should or should not be Google-centered.</t>
  </si>
  <si>
    <t>Update competitor matrix and kill criteria</t>
  </si>
  <si>
    <t>Defensible differentiation statement</t>
  </si>
  <si>
    <t>IP clean room</t>
  </si>
  <si>
    <t>Review one historic product/feature for ownership and safe abstraction.</t>
  </si>
  <si>
    <t>Write clean-room rule and excluded elements.</t>
  </si>
  <si>
    <t>Update IP checklist and public wording</t>
  </si>
  <si>
    <t>Signed-off exclusion list</t>
  </si>
  <si>
    <t>Shared spine + flagship</t>
  </si>
  <si>
    <t>External review</t>
  </si>
  <si>
    <t>Prepare a focused review script around one risk.</t>
  </si>
  <si>
    <t>Run review or incorporate feedback into backlog.</t>
  </si>
  <si>
    <t>Create change request with evidence</t>
  </si>
  <si>
    <t>Reviewer feedback and product change</t>
  </si>
  <si>
    <t>Decision360 flagship</t>
  </si>
  <si>
    <t>Specify one end-to-end user decision and acceptance threshold.</t>
  </si>
  <si>
    <t>Review/test Codex output; reject generic or untraceable behavior.</t>
  </si>
  <si>
    <t>Implement next vertical slice with tests</t>
  </si>
  <si>
    <t>Working workflow and decision record</t>
  </si>
  <si>
    <t>Technical fluency</t>
  </si>
  <si>
    <t>Study one architecture topic from the actual product.</t>
  </si>
  <si>
    <t>Explain it aloud and challenge one alternative.</t>
  </si>
  <si>
    <t>Create ADR, diagram and lab evidence</t>
  </si>
  <si>
    <t>5-minute defence plus artifact</t>
  </si>
  <si>
    <t>Flagship public beta</t>
  </si>
  <si>
    <t>Commercial proof</t>
  </si>
  <si>
    <t>Quantify customer outcome and Google consumption path.</t>
  </si>
  <si>
    <t>Stress-test assumptions against Azure/specialist alternatives.</t>
  </si>
  <si>
    <t>Update unit economics and land-expand model</t>
  </si>
  <si>
    <t>Transparent assumptions and sensitivity</t>
  </si>
  <si>
    <t>Decision360 beta</t>
  </si>
  <si>
    <t>Run one full workflow as a buyer/user, without developer shortcuts.</t>
  </si>
  <si>
    <t>Inspect failures, metrics and business logic; approve or reject release.</t>
  </si>
  <si>
    <t>Fix top issue and expand regression suite</t>
  </si>
  <si>
    <t>Passed workflow and failure report</t>
  </si>
  <si>
    <t>Originality + portfolio</t>
  </si>
  <si>
    <t>Commerce vertical</t>
  </si>
  <si>
    <t>Build athlete-nutrition category problem, with safety boundaries.</t>
  </si>
  <si>
    <t>Review business buyer, data and non-medical product logic.</t>
  </si>
  <si>
    <t>Implement vertical demo/specification</t>
  </si>
  <si>
    <t>Market-ready vertical story</t>
  </si>
  <si>
    <t>Define or run one decision-quality benchmark case.</t>
  </si>
  <si>
    <t>Review whether metric adds value beyond Google technical evaluation.</t>
  </si>
  <si>
    <t>Implement metric/task/report and tests</t>
  </si>
  <si>
    <t>Reproducible benchmark evidence</t>
  </si>
  <si>
    <t>Specify or test evidence-to-opportunity workflow.</t>
  </si>
  <si>
    <t>Challenge unsupported ideas and scoring assumptions.</t>
  </si>
  <si>
    <t>Implement thin slice and baseline comparison</t>
  </si>
  <si>
    <t>Traceable opportunity case</t>
  </si>
  <si>
    <t>Evidence + senior narrative</t>
  </si>
  <si>
    <t>Senior narrative</t>
  </si>
  <si>
    <t>Practice the 15-minute Google thesis and three probing questions.</t>
  </si>
  <si>
    <t>Record, critique and rewrite weak sections.</t>
  </si>
  <si>
    <t>Update talk track and evidence links</t>
  </si>
  <si>
    <t>Interview-ready answer</t>
  </si>
  <si>
    <t>Evidence hardening</t>
  </si>
  <si>
    <t>Run adversarial, safety, data-quality or baseline comparison.</t>
  </si>
  <si>
    <t>Write failure analysis and decide public claim limits.</t>
  </si>
  <si>
    <t>Fix or document limitation</t>
  </si>
  <si>
    <t>Evaluation report entry</t>
  </si>
  <si>
    <t>Historical portfolio</t>
  </si>
  <si>
    <t>Convert one real product into a safe, quantified case study.</t>
  </si>
  <si>
    <t>Verify personal role, reusable logic, adoption and confidentiality.</t>
  </si>
  <si>
    <t>Update portfolio site content</t>
  </si>
  <si>
    <t>Credible historical proof</t>
  </si>
  <si>
    <t>Sponsorship + launch</t>
  </si>
  <si>
    <t>Prepare precise named-team introduction request.</t>
  </si>
  <si>
    <t>Meet insider/reviewer or refine sponsorship package.</t>
  </si>
  <si>
    <t>Update referral brief and role mapping</t>
  </si>
  <si>
    <t>Sponsor signal or gap list</t>
  </si>
  <si>
    <t>G6</t>
  </si>
  <si>
    <t>Public launch</t>
  </si>
  <si>
    <t>Finish one high-quality public asset.</t>
  </si>
  <si>
    <t>Evidence, originality, IP and executive-language review.</t>
  </si>
  <si>
    <t>Polish repository/paper/demo</t>
  </si>
  <si>
    <t>Publish-ready asset</t>
  </si>
  <si>
    <t>G7</t>
  </si>
  <si>
    <t>Mock interview</t>
  </si>
  <si>
    <t>Run role-specific executive/product/technical mock.</t>
  </si>
  <si>
    <t>Convert every weak answer into a documented remediation.</t>
  </si>
  <si>
    <t>Update interview bank</t>
  </si>
  <si>
    <t>Scored mock and improved answer</t>
  </si>
  <si>
    <t>Product</t>
  </si>
  <si>
    <t>90-day state</t>
  </si>
  <si>
    <t>Founder effort %</t>
  </si>
  <si>
    <t>Buyer</t>
  </si>
  <si>
    <t>Core decision</t>
  </si>
  <si>
    <t>Google foundation</t>
  </si>
  <si>
    <t>Non-Google differentiation</t>
  </si>
  <si>
    <t>Validation minimum</t>
  </si>
  <si>
    <t>Product proof</t>
  </si>
  <si>
    <t>Technical proof</t>
  </si>
  <si>
    <t>Economic proof</t>
  </si>
  <si>
    <t>Public artifact</t>
  </si>
  <si>
    <t>Kill / narrow condition</t>
  </si>
  <si>
    <t>Score /100</t>
  </si>
  <si>
    <t>Decision360 CPG</t>
  </si>
  <si>
    <t>CSCO / VP Demand Planning</t>
  </si>
  <si>
    <t>Which demand/inventory intervention should we take, with what confidence and value?</t>
  </si>
  <si>
    <t>BigQuery, Gemini Enterprise Agent Platform, ADK, Agent Runtime, Cloud Run</t>
  </si>
  <si>
    <t>Decision value, probabilistic scenarios, approval/outcome learning and interoperability with existing planning engines</t>
  </si>
  <si>
    <t>6 practitioners; 3 repeat reviewers; 3 unguided tests</t>
  </si>
  <si>
    <t>Five workflows and six-week pilot</t>
  </si>
  <si>
    <t>Secure deployment, evaluation, traceability and cost</t>
  </si>
  <si>
    <t>Service, working capital, planner time and Google consumption</t>
  </si>
  <si>
    <t>Repo + demo + case study + executive brief</t>
  </si>
  <si>
    <t>If users cannot independently complete five workflows, cut scope until they can.</t>
  </si>
  <si>
    <t>Chief AI Officer / agent product owner</t>
  </si>
  <si>
    <t>Is this agent improving decisions and business outcomes, not only task success?</t>
  </si>
  <si>
    <t>ADK evaluation, trajectories, Agent Platform evaluation</t>
  </si>
  <si>
    <t>Regret, calibration, realized value, override quality, actionability, governance and no opaque total score</t>
  </si>
  <si>
    <t>3 agent/platform experts; one academic/decision-science reviewer</t>
  </si>
  <si>
    <t>40 tasks and reproducible multidimensional scorecards</t>
  </si>
  <si>
    <t>Runner, reference agents, metric unit tests</t>
  </si>
  <si>
    <t>Trust, risk reduction and faster enterprise deployment</t>
  </si>
  <si>
    <t>Repo + position paper + benchmark results</t>
  </si>
  <si>
    <t>If novelty duplicates Google evaluation, narrow to decision/economic metrics only.</t>
  </si>
  <si>
    <t>Demonstrable prototype</t>
  </si>
  <si>
    <t>CIO / Transformation Officer</t>
  </si>
  <si>
    <t>Which AI opportunities should we pursue, sequence, buy/build/partner or reject?</t>
  </si>
  <si>
    <t>Gemini Enterprise, connectors, custom agents, BigQuery</t>
  </si>
  <si>
    <t>Evidence trace, transparent scoring, no-build option and transformation accountability</t>
  </si>
  <si>
    <t>3 transformation leaders; 2 repeat reviews</t>
  </si>
  <si>
    <t>Evidence→opportunity→score→roadmap flow</t>
  </si>
  <si>
    <t>Citation accuracy, baseline comparison and sensitivity</t>
  </si>
  <si>
    <t>Time-to-priority, avoided waste and Google pursuit acceleration</t>
  </si>
  <si>
    <t>Repo + demo + case study</t>
  </si>
  <si>
    <t>If output resembles generic LLM brainstorming, stop and rebuild evidence model.</t>
  </si>
  <si>
    <t>Vertical demonstration</t>
  </si>
  <si>
    <t>Chief Growth Officer / Category VP</t>
  </si>
  <si>
    <t>Which catalog, assortment or product gaps block demand and agent discovery?</t>
  </si>
  <si>
    <t>AI Commerce Search, catalog/events, Gemini, BigQuery</t>
  </si>
  <si>
    <t>Manufacturer/category strategy and athlete-nutrition product opportunity—not personalized medical advice</t>
  </si>
  <si>
    <t>2 commerce/CPG leaders; 1 nutrition expert</t>
  </si>
  <si>
    <t>Intent→gap→opportunity→simulation vertical demo</t>
  </si>
  <si>
    <t>Synthetic catalog/events and transparent scoring</t>
  </si>
  <si>
    <t>Discoverability, conversion and assortment opportunity</t>
  </si>
  <si>
    <t>Repo/spec + vertical demo + market brief</t>
  </si>
  <si>
    <t>If buyer/use case remains broad, keep as research specification only.</t>
  </si>
  <si>
    <t>ID</t>
  </si>
  <si>
    <t>Reviewer profile</t>
  </si>
  <si>
    <t>Target count</t>
  </si>
  <si>
    <t>Round</t>
  </si>
  <si>
    <t>Hypothesis to test</t>
  </si>
  <si>
    <t>Evidence required</t>
  </si>
  <si>
    <t>Exact ask</t>
  </si>
  <si>
    <t>Scheduled date</t>
  </si>
  <si>
    <t>Interview date</t>
  </si>
  <si>
    <t>Product change / result</t>
  </si>
  <si>
    <t>DP-01</t>
  </si>
  <si>
    <t>Demand Planning / Supply Chain leader</t>
  </si>
  <si>
    <t>Pre-build</t>
  </si>
  <si>
    <t>Problem, buyer, current workflow and five highest-value decisions</t>
  </si>
  <si>
    <t>Current process, pain, metrics, objections and willingness for second review</t>
  </si>
  <si>
    <t>45-minute structured discovery + permission for follow-up</t>
  </si>
  <si>
    <t>DP-02</t>
  </si>
  <si>
    <t>Finance / Working Capital leader</t>
  </si>
  <si>
    <t>Economic value and trade-offs are credible</t>
  </si>
  <si>
    <t>Cost/service trade-offs, current ownership and value measurement</t>
  </si>
  <si>
    <t>30-minute value interview</t>
  </si>
  <si>
    <t>DP-03</t>
  </si>
  <si>
    <t>Data / Architecture leader</t>
  </si>
  <si>
    <t>Integration and governance assumptions are realistic</t>
  </si>
  <si>
    <t>System landscape, data constraints, Azure coexistence and security</t>
  </si>
  <si>
    <t>30-minute architecture challenge</t>
  </si>
  <si>
    <t>DP-04</t>
  </si>
  <si>
    <t>Repeat reviewers</t>
  </si>
  <si>
    <t>Post-MVP</t>
  </si>
  <si>
    <t>Product can be used without founder narration</t>
  </si>
  <si>
    <t>Observed task completion, confusion, rejection and desired next action</t>
  </si>
  <si>
    <t>Unguided demo test plus 20-minute debrief</t>
  </si>
  <si>
    <t>DP-05</t>
  </si>
  <si>
    <t>Agent platform / governance expert</t>
  </si>
  <si>
    <t>Alpha review</t>
  </si>
  <si>
    <t>Decision metrics are novel, valid and operational</t>
  </si>
  <si>
    <t>Metric critique, missing failure modes and benchmark gaming risks</t>
  </si>
  <si>
    <t>45-minute benchmark review</t>
  </si>
  <si>
    <t>DP-06</t>
  </si>
  <si>
    <t>Decision science / forecasting evaluator</t>
  </si>
  <si>
    <t>Regret/calibration/value metrics are correctly defined</t>
  </si>
  <si>
    <t>Metric validity and ground-truth design</t>
  </si>
  <si>
    <t>Technical review</t>
  </si>
  <si>
    <t>DP-07</t>
  </si>
  <si>
    <t>CIO / Transformation leader</t>
  </si>
  <si>
    <t>Prototype review</t>
  </si>
  <si>
    <t>Portfolio/scoring workflow is better than existing consulting spreadsheets</t>
  </si>
  <si>
    <t>Current prioritization, political/adoption realities and no-build cases</t>
  </si>
  <si>
    <t>45-minute workflow review</t>
  </si>
  <si>
    <t>DP-08</t>
  </si>
  <si>
    <t>CPG/eCommerce/category leader</t>
  </si>
  <si>
    <t>Vertical review</t>
  </si>
  <si>
    <t>Agent-readiness and unmet-need outputs drive real commercial decisions</t>
  </si>
  <si>
    <t>Catalog gaps, category processes and measurable outcomes</t>
  </si>
  <si>
    <t>30-minute vertical review</t>
  </si>
  <si>
    <t>DP-09</t>
  </si>
  <si>
    <t>Qualified nutrition/sports expert</t>
  </si>
  <si>
    <t>Safety review</t>
  </si>
  <si>
    <t>Athlete vertical is useful without crossing into unsafe health advice</t>
  </si>
  <si>
    <t>Boundaries, evidence requirements and user risks</t>
  </si>
  <si>
    <t>30-minute expert review</t>
  </si>
  <si>
    <t>DP-10</t>
  </si>
  <si>
    <t>Cross-portfolio</t>
  </si>
  <si>
    <t>Google/cloud/industry architect</t>
  </si>
  <si>
    <t>Final review</t>
  </si>
  <si>
    <t>Products are technically credible and Google-centered without forced lock-in</t>
  </si>
  <si>
    <t>Architecture, Google differentiation and hybrid deployment</t>
  </si>
  <si>
    <t>Portfolio architecture review</t>
  </si>
  <si>
    <t>DP-11</t>
  </si>
  <si>
    <t>Google insider relevant to target role</t>
  </si>
  <si>
    <t>Body of work maps to a real team and senior role</t>
  </si>
  <si>
    <t>Role/team mapping, level, missing evidence and sponsor comfort</t>
  </si>
  <si>
    <t>60-minute launch review</t>
  </si>
  <si>
    <t>DP-12</t>
  </si>
  <si>
    <t>Independent executive reviewer</t>
  </si>
  <si>
    <t>15-minute thesis is clear, commercially credible and memorable</t>
  </si>
  <si>
    <t>Narrative, differentiation, credibility and objections</t>
  </si>
  <si>
    <t>Recorded mock board/CXO pitch</t>
  </si>
  <si>
    <t>Competitor / alternative</t>
  </si>
  <si>
    <t>What it already does well</t>
  </si>
  <si>
    <t>Why buyer naturally chooses it</t>
  </si>
  <si>
    <t>Gap we claim</t>
  </si>
  <si>
    <t>Our defensible difference</t>
  </si>
  <si>
    <t>Google-specific advantage</t>
  </si>
  <si>
    <t>Interoperability stance</t>
  </si>
  <si>
    <t>Evidence needed</t>
  </si>
  <si>
    <t>Kill criterion</t>
  </si>
  <si>
    <t>Reviewer verdict</t>
  </si>
  <si>
    <t>Source URL</t>
  </si>
  <si>
    <t>Notes</t>
  </si>
  <si>
    <t>Microsoft Azure / Fabric / Copilot</t>
  </si>
  <si>
    <t>Enterprise integration, Microsoft estate, commercial familiarity</t>
  </si>
  <si>
    <t>Already approved, integrated and perceived as economical</t>
  </si>
  <si>
    <t>No complete probabilistic decision layer across forecast, inventory, approval and outcome</t>
  </si>
  <si>
    <t>Open decision layer above existing planning engines; decision-value evaluation</t>
  </si>
  <si>
    <t>BigQuery analytical scale, Gemini agents, Google data/AI strengths</t>
  </si>
  <si>
    <t>Must coexist with Azure and ERP; no rip-and-replace thesis</t>
  </si>
  <si>
    <t>Hybrid architecture, cost comparison, buyer interviews</t>
  </si>
  <si>
    <t>If no Google-specific advantage survives, make product cloud-neutral</t>
  </si>
  <si>
    <t>Pending</t>
  </si>
  <si>
    <t>SAP IBP / o9 / Kinaxis / Blue Yonder</t>
  </si>
  <si>
    <t>Established planning workflows and system-of-record integration</t>
  </si>
  <si>
    <t>Specialist functionality and operational trust</t>
  </si>
  <si>
    <t>Decision explanation, cross-system evidence, agent workflow and realized decision value</t>
  </si>
  <si>
    <t>Works above/alongside planning engines; measures interventions and learning</t>
  </si>
  <si>
    <t>Google can provide open data/agent/application layer</t>
  </si>
  <si>
    <t>Integrate via APIs and exports; do not replace core planning initially</t>
  </si>
  <si>
    <t>Workflow comparison and specialist review</t>
  </si>
  <si>
    <t>If proposition is only a weaker planning suite, stop</t>
  </si>
  <si>
    <t>Palantir AIP</t>
  </si>
  <si>
    <t>Ontology, operational workflows, enterprise deployment</t>
  </si>
  <si>
    <t>Strong application layer and decision operations</t>
  </si>
  <si>
    <t>CPG-specific probabilistic planning product and transparent open benchmark</t>
  </si>
  <si>
    <t>Deep domain package and lower implementation burden</t>
  </si>
  <si>
    <t>Google ecosystem, open components and broader market reach</t>
  </si>
  <si>
    <t>Acknowledge Palantir strength; compare openness and deployability</t>
  </si>
  <si>
    <t>Architecture/economic comparison</t>
  </si>
  <si>
    <t>If Palantir already solves exact workflow better, narrow differentiation</t>
  </si>
  <si>
    <t>Google Agent Platform evaluation</t>
  </si>
  <si>
    <t>Task success, final response, trajectory, safety and evaluation flywheel</t>
  </si>
  <si>
    <t>Native platform integration</t>
  </si>
  <si>
    <t>Business decision quality, economic utility, calibration, adoption and governance outcomes</t>
  </si>
  <si>
    <t>Extension layer, not replacement; custom decision metrics and open tasks</t>
  </si>
  <si>
    <t>Direct integration into Google evaluation workflows</t>
  </si>
  <si>
    <t>Use Google evals as technical base</t>
  </si>
  <si>
    <t>Metric mapping to official capabilities</t>
  </si>
  <si>
    <t>If metrics duplicate native capabilities, remove them</t>
  </si>
  <si>
    <t>LangSmith / Arize / other observability</t>
  </si>
  <si>
    <t>Agent traces, evaluation, monitoring and debugging</t>
  </si>
  <si>
    <t>Mature developer workflows</t>
  </si>
  <si>
    <t>Decision economics and business outcome standards</t>
  </si>
  <si>
    <t>Business decision benchmark above observability tools</t>
  </si>
  <si>
    <t>Google integration plus open provider-neutral contract</t>
  </si>
  <si>
    <t>Provider-neutral metrics and adapters</t>
  </si>
  <si>
    <t>Expert review and baseline comparison</t>
  </si>
  <si>
    <t>If only another observability dashboard, stop</t>
  </si>
  <si>
    <t>McKinsey/BCG/Accenture/Fractal consulting</t>
  </si>
  <si>
    <t>Judgment, executive trust, context and implementation support</t>
  </si>
  <si>
    <t>Accountability and relationships</t>
  </si>
  <si>
    <t>Repeatable evidence ingestion, transparent scoring and continuous portfolio learning</t>
  </si>
  <si>
    <t>Productizes discovery while preserving human accountability</t>
  </si>
  <si>
    <t>Accelerates Google pursuits and partner delivery</t>
  </si>
  <si>
    <t>Can feed consulting engagements, not replace all advice</t>
  </si>
  <si>
    <t>CIO interviews and time/value benchmark</t>
  </si>
  <si>
    <t>If output requires bespoke consultants for every step, narrow claim</t>
  </si>
  <si>
    <t>AI Commerce Search / recommendation platforms</t>
  </si>
  <si>
    <t>Search relevance, personalization, conversion optimization</t>
  </si>
  <si>
    <t>Direct commerce KPI impact</t>
  </si>
  <si>
    <t>Manufacturer category strategy, product opportunity and agent-readiness</t>
  </si>
  <si>
    <t>Moves upstream into portfolio and innovation decisions</t>
  </si>
  <si>
    <t>Google commerce data and Gemini reasoning</t>
  </si>
  <si>
    <t>Works with existing search stack</t>
  </si>
  <si>
    <t>CPG buyer validation</t>
  </si>
  <si>
    <t>If no repeatable buyer workflow, keep as research only</t>
  </si>
  <si>
    <t>Entry use case</t>
  </si>
  <si>
    <t>Customer value</t>
  </si>
  <si>
    <t>Google land motion</t>
  </si>
  <si>
    <t>Expansion motion</t>
  </si>
  <si>
    <t>Google services consumed</t>
  </si>
  <si>
    <t>Why Google vs Azure/AWS</t>
  </si>
  <si>
    <t>Partner / services pull-through</t>
  </si>
  <si>
    <t>Target enterprise count</t>
  </si>
  <si>
    <t>Assumptions to validate</t>
  </si>
  <si>
    <t>Demand/inventory exception decision</t>
  </si>
  <si>
    <t>Lower service risk, excess inventory and decision time</t>
  </si>
  <si>
    <t>Land with BigQuery + Gemini decision workflow over selected business unit</t>
  </si>
  <si>
    <t>Expand to commercial planning, procurement, logistics, finance and additional markets</t>
  </si>
  <si>
    <t>BigQuery, Gemini/Agent Platform, Cloud Run/Runtime, observability, storage</t>
  </si>
  <si>
    <t>Open analytics + agent layer; strong data/AI; does not require replacing ERP/planning systems</t>
  </si>
  <si>
    <t>Google Cloud Consulting, SI integration, industry accelerators</t>
  </si>
  <si>
    <t>Data volumes, model calls, workflow frequency, services scope and Azure coexistence</t>
  </si>
  <si>
    <t>Agent governance and release gate</t>
  </si>
  <si>
    <t>Reduce failed agent deployments and improve trust</t>
  </si>
  <si>
    <t>Land as evaluation layer in AI platform program</t>
  </si>
  <si>
    <t>Expand across agent portfolio, online monitoring and governance</t>
  </si>
  <si>
    <t>Agent Platform evaluation, BigQuery, observability, Runtime</t>
  </si>
  <si>
    <t>Native extension to Google agent stack with provider-neutral benchmark credibility</t>
  </si>
  <si>
    <t>AI governance consulting, implementation partners</t>
  </si>
  <si>
    <t>Metric usefulness, willingness to pay and native-feature overlap</t>
  </si>
  <si>
    <t>AI portfolio prioritization</t>
  </si>
  <si>
    <t>Avoid low-value initiatives and speed transformation roadmap</t>
  </si>
  <si>
    <t>Land through executive discovery and Gemini Enterprise evidence analysis</t>
  </si>
  <si>
    <t>Expand into delivery governance, data modernization and agent programs</t>
  </si>
  <si>
    <t>Gemini Enterprise, connectors, BigQuery, agent tools</t>
  </si>
  <si>
    <t>Strong research/agent/data stack plus repeatable services offer</t>
  </si>
  <si>
    <t>Consulting pursuit and partner delivery</t>
  </si>
  <si>
    <t>Buyer, services model, data access and repeatability</t>
  </si>
  <si>
    <t>Catalog/agent-readiness and category opportunity</t>
  </si>
  <si>
    <t>Higher discoverability, conversion and assortment productivity</t>
  </si>
  <si>
    <t>Land with AI Commerce Search and catalog diagnostic</t>
  </si>
  <si>
    <t>Expand to personalization, product innovation, analytics and marketing</t>
  </si>
  <si>
    <t>AI Commerce Search, BigQuery, Gemini, storage</t>
  </si>
  <si>
    <t>Google commerce/search heritage and data/AI platform</t>
  </si>
  <si>
    <t>Retail/CPG partners and implementation</t>
  </si>
  <si>
    <t>Access to commerce data, buyer ownership and medical-safety boundary</t>
  </si>
  <si>
    <t>Model input</t>
  </si>
  <si>
    <t>Decision360 low</t>
  </si>
  <si>
    <t>Base</t>
  </si>
  <si>
    <t>Unit</t>
  </si>
  <si>
    <t>Source / validation</t>
  </si>
  <si>
    <t>Sensitivity</t>
  </si>
  <si>
    <t>Owner</t>
  </si>
  <si>
    <t>Annual target enterprises</t>
  </si>
  <si>
    <t>count</t>
  </si>
  <si>
    <t>Industry sizing/interviews</t>
  </si>
  <si>
    <t>Rick</t>
  </si>
  <si>
    <t>Average annual BigQuery + agent consumption per enterprise</t>
  </si>
  <si>
    <t>₹</t>
  </si>
  <si>
    <t>Architecture and cost model</t>
  </si>
  <si>
    <t>Rick + architect</t>
  </si>
  <si>
    <t>Professional services / partner pull-through</t>
  </si>
  <si>
    <t>Google/partner validation</t>
  </si>
  <si>
    <t>Expansion multiplier after initial use case</t>
  </si>
  <si>
    <t>x</t>
  </si>
  <si>
    <t>Land-and-expand hypothesis</t>
  </si>
  <si>
    <t>Adoption probability</t>
  </si>
  <si>
    <t>%</t>
  </si>
  <si>
    <t>Design partner and field validation</t>
  </si>
  <si>
    <t>Scenario</t>
  </si>
  <si>
    <t>Annual platform consumption</t>
  </si>
  <si>
    <t>Services pull-through</t>
  </si>
  <si>
    <t>Combined economic influence</t>
  </si>
  <si>
    <t>Interpretation</t>
  </si>
  <si>
    <t>Low</t>
  </si>
  <si>
    <t>Do not overclaim; use as downside case</t>
  </si>
  <si>
    <t>Planning case only until field-validated</t>
  </si>
  <si>
    <t>Decision ID</t>
  </si>
  <si>
    <t>Options considered</t>
  </si>
  <si>
    <t>Codex / technical recommendation</t>
  </si>
  <si>
    <t>Business implications</t>
  </si>
  <si>
    <t>Rick decision</t>
  </si>
  <si>
    <t>Reason</t>
  </si>
  <si>
    <t>Reversal trigger</t>
  </si>
  <si>
    <t>Outcome</t>
  </si>
  <si>
    <t>FD-001</t>
  </si>
  <si>
    <t>Is Decision360 a planning engine or a decision layer?</t>
  </si>
  <si>
    <t>Replace planning engine; sit above existing engines; cloud-neutral toolkit</t>
  </si>
  <si>
    <t>TBD</t>
  </si>
  <si>
    <t>Replacement expands scope and reduces credibility</t>
  </si>
  <si>
    <t>Competitive review and buyer interviews</t>
  </si>
  <si>
    <t>Decision layer above/alongside systems of record</t>
  </si>
  <si>
    <t>Fits buyer reality, avoids recreating SAP/o9/Kinaxis and supports Azure-heavy clients</t>
  </si>
  <si>
    <t>Three buyers demand replacement and can justify economics</t>
  </si>
  <si>
    <t>FD-002</t>
  </si>
  <si>
    <t>Should the benchmark produce one overall score?</t>
  </si>
  <si>
    <t>Single rank; multidimensional scorecard; domain-specific gates</t>
  </si>
  <si>
    <t>Single score is marketable but risks hiding critical failures</t>
  </si>
  <si>
    <t>Risk/governance expert feedback</t>
  </si>
  <si>
    <t>No default opaque total score</t>
  </si>
  <si>
    <t>Critical safety/governance failures must remain visible</t>
  </si>
  <si>
    <t>Reviewers prove a transparent composite improves decisions</t>
  </si>
  <si>
    <t>FD-003</t>
  </si>
  <si>
    <t>Should athlete nutrition include individual recommendations?</t>
  </si>
  <si>
    <t>Personal advice; product/category research only</t>
  </si>
  <si>
    <t>Medical risk and evidence burden</t>
  </si>
  <si>
    <t>Nutrition expert review</t>
  </si>
  <si>
    <t>Product/category research only</t>
  </si>
  <si>
    <t>Keeps use case commercially useful and safe</t>
  </si>
  <si>
    <t>Qualified clinical governance and validated evidence become available</t>
  </si>
  <si>
    <t>Case</t>
  </si>
  <si>
    <t>Company / context</t>
  </si>
  <si>
    <t>Problem</t>
  </si>
  <si>
    <t>User / buyer</t>
  </si>
  <si>
    <t>Your personal role</t>
  </si>
  <si>
    <t>Team</t>
  </si>
  <si>
    <t>Product / solution</t>
  </si>
  <si>
    <t>Reusable element</t>
  </si>
  <si>
    <t>Launch / adoption</t>
  </si>
  <si>
    <t>Business result</t>
  </si>
  <si>
    <t>Failure / learning</t>
  </si>
  <si>
    <t>Safe public evidence</t>
  </si>
  <si>
    <t>IP risk</t>
  </si>
  <si>
    <t>FX360</t>
  </si>
  <si>
    <t>Fractal / forecasting</t>
  </si>
  <si>
    <t>Fragmented forecasting and decision workflow</t>
  </si>
  <si>
    <t>Fortune 500 planning leaders</t>
  </si>
  <si>
    <t>Product conception, domain architecture, executive narrative and build leadership</t>
  </si>
  <si>
    <t>To document</t>
  </si>
  <si>
    <t>Sanitized forecasting/decision platform case</t>
  </si>
  <si>
    <t>Decision workflows, benchmark logic, value translation</t>
  </si>
  <si>
    <t>To document without confidential detail</t>
  </si>
  <si>
    <t>Quantify with approved/public figures only</t>
  </si>
  <si>
    <t>What did not scale or gain adoption?</t>
  </si>
  <si>
    <t>Sanitized diagram, role, generalized workflow and learning</t>
  </si>
  <si>
    <t>Test Ops</t>
  </si>
  <si>
    <t>AB InBev</t>
  </si>
  <si>
    <t>Testing operations and process standardization</t>
  </si>
  <si>
    <t>Technology / operations leaders</t>
  </si>
  <si>
    <t>To document precisely</t>
  </si>
  <si>
    <t>Test operations product</t>
  </si>
  <si>
    <t>Standard operating model and productization</t>
  </si>
  <si>
    <t>Public-safe case study only</t>
  </si>
  <si>
    <t>Medium</t>
  </si>
  <si>
    <t>DCCE</t>
  </si>
  <si>
    <t>Genpact</t>
  </si>
  <si>
    <t>To reconstruct accurately</t>
  </si>
  <si>
    <t>DCCE product / capability</t>
  </si>
  <si>
    <t>Reusable product elements</t>
  </si>
  <si>
    <t>Remote Job Portal</t>
  </si>
  <si>
    <t>Independent</t>
  </si>
  <si>
    <t>Remote job discovery, fit and application friction</t>
  </si>
  <si>
    <t>India-based global job seekers</t>
  </si>
  <si>
    <t>Founder/product owner</t>
  </si>
  <si>
    <t>Codex/AI-assisted build</t>
  </si>
  <si>
    <t>Automated career intelligence product</t>
  </si>
  <si>
    <t>Workflow, product benchmark and agent orchestration</t>
  </si>
  <si>
    <t>Working build status to document</t>
  </si>
  <si>
    <t>Usage and conversion metrics to establish</t>
  </si>
  <si>
    <t>Scope, source and trust challenges</t>
  </si>
  <si>
    <t>Public repo/demo where safe</t>
  </si>
  <si>
    <t>Learning / Tuition Product</t>
  </si>
  <si>
    <t>Tutor, student and production/accountability problems</t>
  </si>
  <si>
    <t>Tutors, parents, students and operators</t>
  </si>
  <si>
    <t>Learning studio/product</t>
  </si>
  <si>
    <t>Workflow standardization and marketplace/product insight</t>
  </si>
  <si>
    <t>Build status to document</t>
  </si>
  <si>
    <t>Metrics to establish</t>
  </si>
  <si>
    <t>Adoption and focus learning</t>
  </si>
  <si>
    <t>Check ID</t>
  </si>
  <si>
    <t>Product / asset</t>
  </si>
  <si>
    <t>Question</t>
  </si>
  <si>
    <t>Risk level</t>
  </si>
  <si>
    <t>Legal / employer review needed?</t>
  </si>
  <si>
    <t>Public wording</t>
  </si>
  <si>
    <t>Reviewer</t>
  </si>
  <si>
    <t>IP-001</t>
  </si>
  <si>
    <t>Does any logic, code, UI, dataset, benchmark or terminology reproduce FX360/employer IP?</t>
  </si>
  <si>
    <t>Independent repo history, synthetic data, clean-room design notes and excluded list</t>
  </si>
  <si>
    <t>Yes</t>
  </si>
  <si>
    <t>Independently developed using public concepts and synthetic data; contains no employer/client code or data.</t>
  </si>
  <si>
    <t>IP-002</t>
  </si>
  <si>
    <t>Are performance results, client identities and screenshots approved for public use?</t>
  </si>
  <si>
    <t>Public sources or written approval; otherwise anonymize/generalize</t>
  </si>
  <si>
    <t>Results shown only where already public or explicitly approved.</t>
  </si>
  <si>
    <t>IP-003</t>
  </si>
  <si>
    <t>Test Ops / DCCE</t>
  </si>
  <si>
    <t>Do prior employment agreements restrict public detail or derivative product logic?</t>
  </si>
  <si>
    <t>Contract/policy review and safe abstraction</t>
  </si>
  <si>
    <t>Possibly</t>
  </si>
  <si>
    <t>Sanitized case study; no proprietary code, data or documents.</t>
  </si>
  <si>
    <t>IP-004</t>
  </si>
  <si>
    <t>All projects</t>
  </si>
  <si>
    <t>Do repositories imply Google endorsement, partnership or employment?</t>
  </si>
  <si>
    <t>Naming, logos, README and disclaimer review</t>
  </si>
  <si>
    <t>Independent open-source research project; not affiliated with or endorsed by Google.</t>
  </si>
  <si>
    <t>IP-005</t>
  </si>
  <si>
    <t>Could athlete-nutrition claims be interpreted as medical or dietary treatment advice?</t>
  </si>
  <si>
    <t>Qualified expert review, disclaimers and evidence taxonomy</t>
  </si>
  <si>
    <t>Product/category research only; not medical or individualized nutrition advice.</t>
  </si>
  <si>
    <t>IP-006</t>
  </si>
  <si>
    <t>Are licenses compatible with dependencies, datasets and public contribution goals?</t>
  </si>
  <si>
    <t>Dependency/license scan and chosen project license</t>
  </si>
  <si>
    <t>Codex + Rick</t>
  </si>
  <si>
    <t>Third-party licenses documented; no restricted data redistributed.</t>
  </si>
  <si>
    <t>Task ID</t>
  </si>
  <si>
    <t>Workstream</t>
  </si>
  <si>
    <t>Task</t>
  </si>
  <si>
    <t>Codex instruction</t>
  </si>
  <si>
    <t>Inputs</t>
  </si>
  <si>
    <t>Expected output</t>
  </si>
  <si>
    <t>Acceptance test</t>
  </si>
  <si>
    <t>Rick decision required</t>
  </si>
  <si>
    <t>Evidence artifact</t>
  </si>
  <si>
    <t>Effort</t>
  </si>
  <si>
    <t>Dependency</t>
  </si>
  <si>
    <t>CX-001</t>
  </si>
  <si>
    <t>Truth</t>
  </si>
  <si>
    <t>Launch Package</t>
  </si>
  <si>
    <t>P0</t>
  </si>
  <si>
    <t>Write contribution thesis</t>
  </si>
  <si>
    <t>Create a one-page thesis describing the enterprise problem layer Google needs, the products that prove it, and the role families that should own it. Avoid job-seeker language.</t>
  </si>
  <si>
    <t>User background, role research</t>
  </si>
  <si>
    <t>docs/google_contribution_thesis.md</t>
  </si>
  <si>
    <t>A Google insider can state the relevant team and role after reading it.</t>
  </si>
  <si>
    <t>Approve final wording and remove unsupported claims.</t>
  </si>
  <si>
    <t>One-page thesis</t>
  </si>
  <si>
    <t>None</t>
  </si>
  <si>
    <t>Rewrite after insider feedback.</t>
  </si>
  <si>
    <t>CX-002</t>
  </si>
  <si>
    <t>Networking</t>
  </si>
  <si>
    <t>Create insider calibration pack</t>
  </si>
  <si>
    <t>Generate questions, one-page profile, target role hypotheses, compensation question and follow-up template.</t>
  </si>
  <si>
    <t>Contribution thesis</t>
  </si>
  <si>
    <t>docs/insider_calibration_pack.md</t>
  </si>
  <si>
    <t>Secures two independent, specific role/level assessments.</t>
  </si>
  <si>
    <t>Select who to contact and approve message.</t>
  </si>
  <si>
    <t>Two completed calibrations</t>
  </si>
  <si>
    <t>Do not progress to role positioning without answers.</t>
  </si>
  <si>
    <t>CX-003</t>
  </si>
  <si>
    <t>Customer Validation</t>
  </si>
  <si>
    <t>Create design-partner discovery kit</t>
  </si>
  <si>
    <t>Build interview guide, workflow map template, assumption log and evidence scoring.</t>
  </si>
  <si>
    <t>Decision360 hypothesis</t>
  </si>
  <si>
    <t>validation/decision360_discovery_kit.md</t>
  </si>
  <si>
    <t>Six interviews produce comparable evidence and explicit changed assumptions.</t>
  </si>
  <si>
    <t>Approve buyer profiles and questions.</t>
  </si>
  <si>
    <t>Interview evidence table</t>
  </si>
  <si>
    <t>Rewrite PRD if buyer or decision differs.</t>
  </si>
  <si>
    <t>CX-004</t>
  </si>
  <si>
    <t>Shared Platform</t>
  </si>
  <si>
    <t>IP / Legal</t>
  </si>
  <si>
    <t>Create clean-room protocol</t>
  </si>
  <si>
    <t>Create excluded sources list, provenance rules, synthetic-data rule, public disclaimer and pre-release checklist.</t>
  </si>
  <si>
    <t>Employment/product history</t>
  </si>
  <si>
    <t>docs/clean_room_protocol.md</t>
  </si>
  <si>
    <t>Every public asset can be traced to independent/public inputs.</t>
  </si>
  <si>
    <t>Approve exclusions and seek legal review where required.</t>
  </si>
  <si>
    <t>Signed clean-room checklist</t>
  </si>
  <si>
    <t>Block public release.</t>
  </si>
  <si>
    <t>CX-005</t>
  </si>
  <si>
    <t>Build</t>
  </si>
  <si>
    <t>Create five workflow PRD</t>
  </si>
  <si>
    <t>Specify five end-to-end buyer workflows, decisions, evidence, failure modes, approval and outcome capture.</t>
  </si>
  <si>
    <t>Design-partner evidence</t>
  </si>
  <si>
    <t>products/decision360/PRD.md</t>
  </si>
  <si>
    <t>Each workflow has user, decision, data, acceptance, business metric and non-goal.</t>
  </si>
  <si>
    <t>Approve every business rule; Codex must not invent rules.</t>
  </si>
  <si>
    <t>Approved PRD</t>
  </si>
  <si>
    <t>Discovery evidence</t>
  </si>
  <si>
    <t>Cut any workflow without validated buyer need.</t>
  </si>
  <si>
    <t>CX-006</t>
  </si>
  <si>
    <t>Architecture</t>
  </si>
  <si>
    <t>Build shared evidence and decision contract</t>
  </si>
  <si>
    <t>Implement schemas for evidence, assumptions, recommendation, approval, outcome, trace, cost and latency.</t>
  </si>
  <si>
    <t>Approved PRDs</t>
  </si>
  <si>
    <t>packages/contracts</t>
  </si>
  <si>
    <t>All four products use versioned schemas and validation tests.</t>
  </si>
  <si>
    <t>Approve required vs optional fields.</t>
  </si>
  <si>
    <t>Schema tests and ADR</t>
  </si>
  <si>
    <t>Clean-room protocol</t>
  </si>
  <si>
    <t>Stop product-specific UI until contract works.</t>
  </si>
  <si>
    <t>CX-007</t>
  </si>
  <si>
    <t>Implement vertical slice 1</t>
  </si>
  <si>
    <t>Build synthetic CPG data → risk detection → evidence → recommendation → human approval → outcome ledger using deterministic logic first.</t>
  </si>
  <si>
    <t>Decision360 PRD, contracts</t>
  </si>
  <si>
    <t>Working API/UI slice with tests</t>
  </si>
  <si>
    <t>One scenario runs end to end with no model dependency and complete audit trail.</t>
  </si>
  <si>
    <t>Approve calculation logic and business meaning.</t>
  </si>
  <si>
    <t>Demo + automated tests</t>
  </si>
  <si>
    <t>Shared contract</t>
  </si>
  <si>
    <t>Do not add agents until deterministic flow is correct.</t>
  </si>
  <si>
    <t>CX-008</t>
  </si>
  <si>
    <t>Add Gemini/ADK interaction layer</t>
  </si>
  <si>
    <t>Add allow-listed tools over validated deterministic services; structured output and refusal rules.</t>
  </si>
  <si>
    <t>Vertical slice and tool contracts</t>
  </si>
  <si>
    <t>Agent workflow and trace</t>
  </si>
  <si>
    <t>Correct tool path ≥90%; no unsupported write action; all recommendations cite evidence.</t>
  </si>
  <si>
    <t>Approve tool permissions and refusal policy.</t>
  </si>
  <si>
    <t>Evaluation report</t>
  </si>
  <si>
    <t>Vertical slice 1</t>
  </si>
  <si>
    <t>Revert to guided workflow if agent reduces reliability.</t>
  </si>
  <si>
    <t>CX-009</t>
  </si>
  <si>
    <t>Evaluation</t>
  </si>
  <si>
    <t>Create 60-case decision suite</t>
  </si>
  <si>
    <t>Normal, disruption, missing data, unsafe, ambiguous, adversarial and Azure-integration cases.</t>
  </si>
  <si>
    <t>PRD and synthetic data</t>
  </si>
  <si>
    <t>evals/decision360 + report</t>
  </si>
  <si>
    <t>Critical safety 100%; workflow completion ≥90%; numeric reconciliation 100%.</t>
  </si>
  <si>
    <t>Approve public thresholds and claim limits.</t>
  </si>
  <si>
    <t>Benchmark report</t>
  </si>
  <si>
    <t>Agent layer</t>
  </si>
  <si>
    <t>Block beta if critical thresholds fail.</t>
  </si>
  <si>
    <t>CX-010</t>
  </si>
  <si>
    <t>Run three unguided tests</t>
  </si>
  <si>
    <t>Prepare scripted tasks and capture task completion, confusion, rejection and next-action interest.</t>
  </si>
  <si>
    <t>Beta build</t>
  </si>
  <si>
    <t>validation/unguided_results.md</t>
  </si>
  <si>
    <t>Three relevant users complete five workflows without founder intervention or scope is cut.</t>
  </si>
  <si>
    <t>Decide release scope based on evidence.</t>
  </si>
  <si>
    <t>Observed usability evidence</t>
  </si>
  <si>
    <t>60-case suite</t>
  </si>
  <si>
    <t>Cut features and rerun.</t>
  </si>
  <si>
    <t>CX-011</t>
  </si>
  <si>
    <t>Originality</t>
  </si>
  <si>
    <t>Map native Google evaluation vs missing metrics</t>
  </si>
  <si>
    <t>Create capability map for final response, trajectory, task success, safety, simulation and monitoring versus regret/calibration/value/adoption/governance.</t>
  </si>
  <si>
    <t>Official Google docs</t>
  </si>
  <si>
    <t>products/benchmark/native_gap_map.md</t>
  </si>
  <si>
    <t>No proposed flagship metric duplicates native capability without extension rationale.</t>
  </si>
  <si>
    <t>Approve unique metric thesis.</t>
  </si>
  <si>
    <t>Gap map with sources</t>
  </si>
  <si>
    <t>Delete duplicate metrics.</t>
  </si>
  <si>
    <t>CX-012</t>
  </si>
  <si>
    <t>Implement decision metric library</t>
  </si>
  <si>
    <t>Implement regret, utility, calibration, constraint violations, evidence sufficiency, override quality, actionability and realized value contracts.</t>
  </si>
  <si>
    <t>Metric definitions</t>
  </si>
  <si>
    <t>metric package with unit tests</t>
  </si>
  <si>
    <t>Synthetic cases produce mathematically expected results and critical violations cannot be averaged away.</t>
  </si>
  <si>
    <t>Approve metric semantics and weights.</t>
  </si>
  <si>
    <t>Unit tests and examples</t>
  </si>
  <si>
    <t>Native gap map</t>
  </si>
  <si>
    <t>Remove unverifiable metrics.</t>
  </si>
  <si>
    <t>CX-013</t>
  </si>
  <si>
    <t>Build 40-task benchmark alpha</t>
  </si>
  <si>
    <t>Create tasks across supply chain, commerce, finance and transformation with reference baselines and reproducible runner.</t>
  </si>
  <si>
    <t>Shared contracts and synthetic data</t>
  </si>
  <si>
    <t>benchmark suite and scorecards</t>
  </si>
  <si>
    <t>Fresh clone runs sample suite; results reproducible; confidence intervals shown.</t>
  </si>
  <si>
    <t>Approve task business realism.</t>
  </si>
  <si>
    <t>Public alpha report</t>
  </si>
  <si>
    <t>Metric library</t>
  </si>
  <si>
    <t>Reduce domains, not metric quality.</t>
  </si>
  <si>
    <t>CX-014</t>
  </si>
  <si>
    <t>Portfolio</t>
  </si>
  <si>
    <t>P1</t>
  </si>
  <si>
    <t>Build evidence-to-opportunity thin slice</t>
  </si>
  <si>
    <t>Ingest synthetic enterprise evidence, extract cited pains/KPIs, propose opportunities, transparently score and produce no-build option.</t>
  </si>
  <si>
    <t>Synthetic evidence pack</t>
  </si>
  <si>
    <t>Prototype and comparison baseline</t>
  </si>
  <si>
    <t>Every opportunity has citations; unsupported rate &lt;10%; static generic-LLM baseline compared.</t>
  </si>
  <si>
    <t>Approve scoring factors and no-build rules.</t>
  </si>
  <si>
    <t>Prototype demo and report</t>
  </si>
  <si>
    <t>Shared contracts</t>
  </si>
  <si>
    <t>Stop if output remains generic.</t>
  </si>
  <si>
    <t>CX-015</t>
  </si>
  <si>
    <t>Build athlete nutrition market vertical</t>
  </si>
  <si>
    <t>Create product/category research workflow: need-state taxonomy, catalog readiness, gaps and product opportunity with strict medical boundary.</t>
  </si>
  <si>
    <t>Synthetic catalog, expert safety input</t>
  </si>
  <si>
    <t>Vertical demo/spec</t>
  </si>
  <si>
    <t>No individualized health advice; every opportunity ties to market/catalog evidence.</t>
  </si>
  <si>
    <t>Approve buyer, boundary and claims.</t>
  </si>
  <si>
    <t>Demo + safety review</t>
  </si>
  <si>
    <t>Keep as specification if validation is weak.</t>
  </si>
  <si>
    <t>CX-016</t>
  </si>
  <si>
    <t>Google Commercial Story</t>
  </si>
  <si>
    <t>Competition</t>
  </si>
  <si>
    <t>Build Google-vs-alternatives defence</t>
  </si>
  <si>
    <t>Create product-by-product comparison with Azure, specialist platforms, Palantir, Databricks/Snowflake and consulting alternatives; include hybrid architecture.</t>
  </si>
  <si>
    <t>Competitive matrix and reviews</t>
  </si>
  <si>
    <t>docs/google_centered_but_interoperable.md</t>
  </si>
  <si>
    <t>Can answer why Google, why not Google, and how Azure-heavy clients coexist.</t>
  </si>
  <si>
    <t>Approve honest disadvantages.</t>
  </si>
  <si>
    <t>Competitive defence</t>
  </si>
  <si>
    <t>Make product cloud-neutral if Google advantage is forced.</t>
  </si>
  <si>
    <t>CX-017</t>
  </si>
  <si>
    <t>Build Google economic model</t>
  </si>
  <si>
    <t>Estimate land motion, consumption, services pull-through, expansion and sensitivity with transparent assumptions.</t>
  </si>
  <si>
    <t>Architecture and buyer inputs</t>
  </si>
  <si>
    <t>commercial/google_value_model.md + spreadsheet inputs</t>
  </si>
  <si>
    <t>All assumptions labeled; low/base/high; no invented customer savings.</t>
  </si>
  <si>
    <t>Approve assumptions and public wording.</t>
  </si>
  <si>
    <t>Economic model</t>
  </si>
  <si>
    <t>Use qualitative case if inputs are not validated.</t>
  </si>
  <si>
    <t>CX-018</t>
  </si>
  <si>
    <t>Create five sanitized case studies</t>
  </si>
  <si>
    <t>Document FX360, Test Ops, DCCE, remote jobs and learning product with problem, role, team, launch, result, learning and reusable pattern.</t>
  </si>
  <si>
    <t>Personal records and approved facts</t>
  </si>
  <si>
    <t>portfolio/case_studies/*.md</t>
  </si>
  <si>
    <t>Personal contribution is specific; unsupported results removed; IP review passes.</t>
  </si>
  <si>
    <t>Approve every fact and boundary.</t>
  </si>
  <si>
    <t>Portfolio site content</t>
  </si>
  <si>
    <t>Anonymize or omit risky details.</t>
  </si>
  <si>
    <t>CX-019</t>
  </si>
  <si>
    <t>Public Launch</t>
  </si>
  <si>
    <t>Create 15-minute thesis presentation</t>
  </si>
  <si>
    <t>Build narrative: real-world problem gap, four solutions, evidence, Google economics, historical pattern, role contribution and ask.</t>
  </si>
  <si>
    <t>All evidence</t>
  </si>
  <si>
    <t>launch/google_thesis_talk.md</t>
  </si>
  <si>
    <t>Delivered in 15 minutes; survives 10 executive/product/technical probes.</t>
  </si>
  <si>
    <t>Approve final thesis and ask.</t>
  </si>
  <si>
    <t>Recorded mock and score</t>
  </si>
  <si>
    <t>Rewrite based on mocks.</t>
  </si>
  <si>
    <t>CX-020</t>
  </si>
  <si>
    <t>Launch</t>
  </si>
  <si>
    <t>Create named-team sponsor package</t>
  </si>
  <si>
    <t>One-page role match, portfolio links, why Google, likely level, compensation calibration and exact introduction ask.</t>
  </si>
  <si>
    <t>Thesis, role calibration, public assets</t>
  </si>
  <si>
    <t>launch/sponsor_brief.md</t>
  </si>
  <si>
    <t>Relevant insider states willingness to introduce or gives explicit remaining gaps.</t>
  </si>
  <si>
    <t>Choose only named team/role; no generic referral.</t>
  </si>
  <si>
    <t>Sponsor response</t>
  </si>
  <si>
    <t>Thesis presentation</t>
  </si>
  <si>
    <t>Delay application if sponsor not comfortable.</t>
  </si>
  <si>
    <t>CX-021</t>
  </si>
  <si>
    <t>Launch flagship beta</t>
  </si>
  <si>
    <t>Complete README, demo, architecture, pilot, evaluation, security, IP disclaimer, contribution guide and roadmap.</t>
  </si>
  <si>
    <t>Validated beta</t>
  </si>
  <si>
    <t>Public-ready repo package</t>
  </si>
  <si>
    <t>All gates pass; no confidential material; five workflows and evidence are visible.</t>
  </si>
  <si>
    <t>Final release approval.</t>
  </si>
  <si>
    <t>Unguided tests, IP review</t>
  </si>
  <si>
    <t>Selective/private beta if any gate fails.</t>
  </si>
  <si>
    <t>CX-022</t>
  </si>
  <si>
    <t>Launch benchmark alpha and paper</t>
  </si>
  <si>
    <t>Publish metric taxonomy, native gap map, runner, tasks, findings, limitations and contribution process.</t>
  </si>
  <si>
    <t>Benchmark alpha</t>
  </si>
  <si>
    <t>Public-ready repo + paper</t>
  </si>
  <si>
    <t>Reproducible sample run; novelty clearly stated; no universal-score overclaim.</t>
  </si>
  <si>
    <t>Final paper approval.</t>
  </si>
  <si>
    <t>40-task suite</t>
  </si>
  <si>
    <t>Publish paper first if code quality lags.</t>
  </si>
  <si>
    <t>CX-023</t>
  </si>
  <si>
    <t>Publish portfolio and launch sequence</t>
  </si>
  <si>
    <t>Launch portfolio site, four project pages, five-post sequence, demos and executive briefs.</t>
  </si>
  <si>
    <t>All launch assets</t>
  </si>
  <si>
    <t>Public portfolio</t>
  </si>
  <si>
    <t>Coherent identity; each claim links to evidence; CTA targets practitioners and Google/industry leaders.</t>
  </si>
  <si>
    <t>Approve timing and messages.</t>
  </si>
  <si>
    <t>Live portfolio and posts</t>
  </si>
  <si>
    <t>Flagship and benchmark</t>
  </si>
  <si>
    <t>Delay broad promotion if evidence is weak.</t>
  </si>
  <si>
    <t>Asset</t>
  </si>
  <si>
    <t>Primary audience</t>
  </si>
  <si>
    <t>Claim</t>
  </si>
  <si>
    <t>Format</t>
  </si>
  <si>
    <t>Quality gate</t>
  </si>
  <si>
    <t>Publish date</t>
  </si>
  <si>
    <t>Distribution</t>
  </si>
  <si>
    <t>Success signal</t>
  </si>
  <si>
    <t>GroundAI portfolio site</t>
  </si>
  <si>
    <t>Google leaders, industry executives, collaborators</t>
  </si>
  <si>
    <t>This is a long-running pattern of productizing real enterprise problems.</t>
  </si>
  <si>
    <t>Five historical cases plus four new products</t>
  </si>
  <si>
    <t>Website/GitHub Pages</t>
  </si>
  <si>
    <t>Every claim sourced or clearly marked as thesis</t>
  </si>
  <si>
    <t>LinkedIn, direct outreach, Google contacts</t>
  </si>
  <si>
    <t>Relevant introductions and practitioner engagement</t>
  </si>
  <si>
    <t>Supply-chain executives and Google industry teams</t>
  </si>
  <si>
    <t>A governed decision layer can improve planning decisions without replacing systems of record.</t>
  </si>
  <si>
    <t>Five workflows, validation, evaluation and pilot economics</t>
  </si>
  <si>
    <t>Public repo + demo</t>
  </si>
  <si>
    <t>Unguided tests and IP gate pass</t>
  </si>
  <si>
    <t>Targeted practitioner launch</t>
  </si>
  <si>
    <t>Design partner requests or serious reviews</t>
  </si>
  <si>
    <t>Decision Agent Benchmark alpha</t>
  </si>
  <si>
    <t>AI platform and governance community</t>
  </si>
  <si>
    <t>Enterprise agents must be evaluated on decision and economic outcomes beyond task success.</t>
  </si>
  <si>
    <t>Native capability map, 40 tasks, reproducible metrics</t>
  </si>
  <si>
    <t>Repo + paper</t>
  </si>
  <si>
    <t>Novelty and mathematical validity reviewed</t>
  </si>
  <si>
    <t>AI/agent communities and direct experts</t>
  </si>
  <si>
    <t>Contributors, citations, expert critique</t>
  </si>
  <si>
    <t>Transformation Mapper prototype</t>
  </si>
  <si>
    <t>CIO and transformation community</t>
  </si>
  <si>
    <t>AI opportunity selection can be evidence-backed and productized without pretending to replace judgment.</t>
  </si>
  <si>
    <t>Baseline comparison and cited opportunity workflow</t>
  </si>
  <si>
    <t>Repo + demo</t>
  </si>
  <si>
    <t>Unsupported-rate threshold passes</t>
  </si>
  <si>
    <t>Transformation leaders</t>
  </si>
  <si>
    <t>Pilot conversations</t>
  </si>
  <si>
    <t>Commerce Growth vertical</t>
  </si>
  <si>
    <t>CPG/eCommerce/innovation leaders</t>
  </si>
  <si>
    <t>Commerce infrastructure can be extended into agent-readiness and category opportunity.</t>
  </si>
  <si>
    <t>Expert safety review and market/catalog evidence</t>
  </si>
  <si>
    <t>Demo + brief</t>
  </si>
  <si>
    <t>No medical or unsupported health claims</t>
  </si>
  <si>
    <t>CPG and sports-nutrition network</t>
  </si>
  <si>
    <t>Expert feedback and buyer interest</t>
  </si>
  <si>
    <t>15-minute Google thesis</t>
  </si>
  <si>
    <t>Google insiders and hiring leaders</t>
  </si>
  <si>
    <t>I can help Google turn horizontal AI into implementable industry products and repeatable transformations.</t>
  </si>
  <si>
    <t>All portfolio evidence and commercial model</t>
  </si>
  <si>
    <t>Recorded talk + one-pager</t>
  </si>
  <si>
    <t>Mock score ≥4/5 across executive, product and technical reviewers</t>
  </si>
  <si>
    <t>Direct sponsor outreach</t>
  </si>
  <si>
    <t>Named team introduction</t>
  </si>
  <si>
    <t>LinkedIn five-part series</t>
  </si>
  <si>
    <t>Market and professional network</t>
  </si>
  <si>
    <t>Horizontal AI needs a measurable application and decision layer.</t>
  </si>
  <si>
    <t>Flagship and benchmark evidence</t>
  </si>
  <si>
    <t>Five posts</t>
  </si>
  <si>
    <t>No generic hype; each post contains an artifact or result</t>
  </si>
  <si>
    <t>Scheduled sequence</t>
  </si>
  <si>
    <t>Meaningful comments from practitioners</t>
  </si>
  <si>
    <t>Package item</t>
  </si>
  <si>
    <t>Target role / team</t>
  </si>
  <si>
    <t>Purpose</t>
  </si>
  <si>
    <t>Required content</t>
  </si>
  <si>
    <t>Evidence link</t>
  </si>
  <si>
    <t>Mock score /5</t>
  </si>
  <si>
    <t>Failure threshold</t>
  </si>
  <si>
    <t>Recovery</t>
  </si>
  <si>
    <t>Google-specific CV</t>
  </si>
  <si>
    <t>Pursuit/Transformation/Industry/Consulting</t>
  </si>
  <si>
    <t>Pass screening at senior scope</t>
  </si>
  <si>
    <t>Historical product pattern, CXO work, repeatable assets, implementation leadership, quantified outcomes</t>
  </si>
  <si>
    <t>Google insider</t>
  </si>
  <si>
    <t>&lt;4/5</t>
  </si>
  <si>
    <t>Rewrite achievements and role hypothesis</t>
  </si>
  <si>
    <t>One-page sponsor brief</t>
  </si>
  <si>
    <t>Named team/role</t>
  </si>
  <si>
    <t>Make an introduction easy and defensible</t>
  </si>
  <si>
    <t>Why this team; contribution; evidence; level; exact ask</t>
  </si>
  <si>
    <t>Sponsor unwilling</t>
  </si>
  <si>
    <t>Address explicit gap before referral</t>
  </si>
  <si>
    <t>15-minute thesis talk</t>
  </si>
  <si>
    <t>Hiring leader / sponsor</t>
  </si>
  <si>
    <t>Demonstrate thought leadership and executive clarity</t>
  </si>
  <si>
    <t>Problem gap, products, evidence, Google economics, historical pattern, ask</t>
  </si>
  <si>
    <t>Executive reviewer</t>
  </si>
  <si>
    <t>Re-record after three mocks</t>
  </si>
  <si>
    <t>Product deep dive</t>
  </si>
  <si>
    <t>Industry/product team</t>
  </si>
  <si>
    <t>Prove product judgment and implementation leadership</t>
  </si>
  <si>
    <t>Decision360 PRD, decisions, failures, validation, architecture and economics</t>
  </si>
  <si>
    <t>Product leader</t>
  </si>
  <si>
    <t>Strengthen founder decision log</t>
  </si>
  <si>
    <t>Technical defence</t>
  </si>
  <si>
    <t>Architect / CE / FDE reviewer</t>
  </si>
  <si>
    <t>Show you cannot be bluffed and can lead engineers</t>
  </si>
  <si>
    <t>Data flow, IAM, tools, agent vs deterministic, evaluation, scale, cost, hybrid integration</t>
  </si>
  <si>
    <t>Cloud architect</t>
  </si>
  <si>
    <t>&lt;3.5/5</t>
  </si>
  <si>
    <t>Daily technical drills</t>
  </si>
  <si>
    <t>Commercial pursuit case</t>
  </si>
  <si>
    <t>Pursuit / Consulting</t>
  </si>
  <si>
    <t>Prove opportunity shaping and services commercialization</t>
  </si>
  <si>
    <t>Discovery, value case, proposal, adoption roadmap, Google consumption and partner orchestration</t>
  </si>
  <si>
    <t>Sales/consulting leader</t>
  </si>
  <si>
    <t>Rebuild commercial model</t>
  </si>
  <si>
    <t>12 leadership stories</t>
  </si>
  <si>
    <t>All senior roles</t>
  </si>
  <si>
    <t>Pass behavioural and leadership probing</t>
  </si>
  <si>
    <t>Ambiguity, failure, executive dissent, product launch, adoption, people, ethics, scale and learning</t>
  </si>
  <si>
    <t>Mock interviewer</t>
  </si>
  <si>
    <t>Any story collapses</t>
  </si>
  <si>
    <t>Rewrite with personal decisions and evidence</t>
  </si>
  <si>
    <t>Compensation/level decision sheet</t>
  </si>
  <si>
    <t>Recruiter / self</t>
  </si>
  <si>
    <t>Avoid under-level entry</t>
  </si>
  <si>
    <t>Current scope, target level, package components, walk-away conditions and alternatives</t>
  </si>
  <si>
    <t>Trusted advisor</t>
  </si>
  <si>
    <t>No reliable calibration</t>
  </si>
  <si>
    <t>Do not apply yet</t>
  </si>
  <si>
    <t>Gate</t>
  </si>
  <si>
    <t>Reviewer Type</t>
  </si>
  <si>
    <t>Google Insider</t>
  </si>
  <si>
    <t>In Progress</t>
  </si>
  <si>
    <t>Partial</t>
  </si>
  <si>
    <t>Pass</t>
  </si>
  <si>
    <t>Industry Expert</t>
  </si>
  <si>
    <t>Codex</t>
  </si>
  <si>
    <t>Completed</t>
  </si>
  <si>
    <t>P2</t>
  </si>
  <si>
    <t>Strong</t>
  </si>
  <si>
    <t>Fail</t>
  </si>
  <si>
    <t>Design Partner</t>
  </si>
  <si>
    <t>Rick + Codex</t>
  </si>
  <si>
    <t>Blocked</t>
  </si>
  <si>
    <t>Mock Interviewer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</si>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</sst>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m\-yyyy"/>
    <numFmt numFmtId="166" formatCode="\₹#,##0"/>
  </numFmts>
  <fonts count="4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6"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Readiness by Dimension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Weight</c:v>
          </c:tx>
          <c:invertIfNegative val="1"/>
          <c:cat>
            <c:strRef>
              <c:f>'Executive Dashboard'!$D$5:$D$14</c:f>
              <c:strCache>
                <c:ptCount val="10"/>
                <c:pt idx="0">
                  <c:v>Flagship product quality</c:v>
                </c:pt>
                <c:pt idx="1">
                  <c:v>External customer validation</c:v>
                </c:pt>
                <c:pt idx="2">
                  <c:v>Google-specific commercial thesis</c:v>
                </c:pt>
                <c:pt idx="3">
                  <c:v>Historical product evidence</c:v>
                </c:pt>
                <c:pt idx="4">
                  <c:v>Technical fluency and architecture defence</c:v>
                </c:pt>
                <c:pt idx="5">
                  <c:v>Original thought leadership</c:v>
                </c:pt>
                <c:pt idx="6">
                  <c:v>Competitive differentiation</c:v>
                </c:pt>
                <c:pt idx="7">
                  <c:v>Senior role and compensation calibration</c:v>
                </c:pt>
                <c:pt idx="8">
                  <c:v>IP / clean-room confidence</c:v>
                </c:pt>
                <c:pt idx="9">
                  <c:v>Internal sponsorship</c:v>
                </c:pt>
              </c:strCache>
            </c:strRef>
          </c:cat>
          <c:val>
            <c:numRef>
              <c:f>'Executive Dashboard'!$E$5:$E$14</c:f>
              <c:numCache>
                <c:formatCode>0%</c:formatCode>
                <c:ptCount val="10"/>
                <c:pt idx="0">
                  <c:v>0.2</c:v>
                </c:pt>
                <c:pt idx="1">
                  <c:v>0.15</c:v>
                </c:pt>
                <c:pt idx="2">
                  <c:v>0.12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0.08</c:v>
                </c:pt>
                <c:pt idx="7">
                  <c:v>0.08</c:v>
                </c:pt>
                <c:pt idx="8">
                  <c:v>0.04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A-433D-9C5C-5006FCCA6F5A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'Executive Dashboard'!$D$5:$D$14</c:f>
              <c:strCache>
                <c:ptCount val="10"/>
                <c:pt idx="0">
                  <c:v>Flagship product quality</c:v>
                </c:pt>
                <c:pt idx="1">
                  <c:v>External customer validation</c:v>
                </c:pt>
                <c:pt idx="2">
                  <c:v>Google-specific commercial thesis</c:v>
                </c:pt>
                <c:pt idx="3">
                  <c:v>Historical product evidence</c:v>
                </c:pt>
                <c:pt idx="4">
                  <c:v>Technical fluency and architecture defence</c:v>
                </c:pt>
                <c:pt idx="5">
                  <c:v>Original thought leadership</c:v>
                </c:pt>
                <c:pt idx="6">
                  <c:v>Competitive differentiation</c:v>
                </c:pt>
                <c:pt idx="7">
                  <c:v>Senior role and compensation calibration</c:v>
                </c:pt>
                <c:pt idx="8">
                  <c:v>IP / clean-room confidence</c:v>
                </c:pt>
                <c:pt idx="9">
                  <c:v>Internal sponsorship</c:v>
                </c:pt>
              </c:strCache>
            </c:strRef>
          </c:cat>
          <c:val>
            <c:numRef>
              <c:f>'Executive Dashboard'!$F$5:$F$14</c:f>
              <c:numCache>
                <c:formatCode>General</c:formatCode>
                <c:ptCount val="10"/>
                <c:pt idx="0">
                  <c:v>90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75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A-433D-9C5C-5006FCCA6F5A}"/>
            </c:ext>
          </c:extLst>
        </c:ser>
        <c:ser>
          <c:idx val="2"/>
          <c:order val="2"/>
          <c:tx>
            <c:v>Actual</c:v>
          </c:tx>
          <c:invertIfNegative val="1"/>
          <c:cat>
            <c:strRef>
              <c:f>'Executive Dashboard'!$D$5:$D$14</c:f>
              <c:strCache>
                <c:ptCount val="10"/>
                <c:pt idx="0">
                  <c:v>Flagship product quality</c:v>
                </c:pt>
                <c:pt idx="1">
                  <c:v>External customer validation</c:v>
                </c:pt>
                <c:pt idx="2">
                  <c:v>Google-specific commercial thesis</c:v>
                </c:pt>
                <c:pt idx="3">
                  <c:v>Historical product evidence</c:v>
                </c:pt>
                <c:pt idx="4">
                  <c:v>Technical fluency and architecture defence</c:v>
                </c:pt>
                <c:pt idx="5">
                  <c:v>Original thought leadership</c:v>
                </c:pt>
                <c:pt idx="6">
                  <c:v>Competitive differentiation</c:v>
                </c:pt>
                <c:pt idx="7">
                  <c:v>Senior role and compensation calibration</c:v>
                </c:pt>
                <c:pt idx="8">
                  <c:v>IP / clean-room confidence</c:v>
                </c:pt>
                <c:pt idx="9">
                  <c:v>Internal sponsorship</c:v>
                </c:pt>
              </c:strCache>
            </c:strRef>
          </c:cat>
          <c:val>
            <c:numRef>
              <c:f>'Executive Dashboard'!$G$5:$G$14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A-433D-9C5C-5006FCCA6F5A}"/>
            </c:ext>
          </c:extLst>
        </c:ser>
        <c:ser>
          <c:idx val="3"/>
          <c:order val="3"/>
          <c:tx>
            <c:v>Weighted score</c:v>
          </c:tx>
          <c:invertIfNegative val="1"/>
          <c:cat>
            <c:strRef>
              <c:f>'Executive Dashboard'!$D$5:$D$14</c:f>
              <c:strCache>
                <c:ptCount val="10"/>
                <c:pt idx="0">
                  <c:v>Flagship product quality</c:v>
                </c:pt>
                <c:pt idx="1">
                  <c:v>External customer validation</c:v>
                </c:pt>
                <c:pt idx="2">
                  <c:v>Google-specific commercial thesis</c:v>
                </c:pt>
                <c:pt idx="3">
                  <c:v>Historical product evidence</c:v>
                </c:pt>
                <c:pt idx="4">
                  <c:v>Technical fluency and architecture defence</c:v>
                </c:pt>
                <c:pt idx="5">
                  <c:v>Original thought leadership</c:v>
                </c:pt>
                <c:pt idx="6">
                  <c:v>Competitive differentiation</c:v>
                </c:pt>
                <c:pt idx="7">
                  <c:v>Senior role and compensation calibration</c:v>
                </c:pt>
                <c:pt idx="8">
                  <c:v>IP / clean-room confidence</c:v>
                </c:pt>
                <c:pt idx="9">
                  <c:v>Internal sponsorship</c:v>
                </c:pt>
              </c:strCache>
            </c:strRef>
          </c:cat>
          <c:val>
            <c:numRef>
              <c:f>'Executive Dashboard'!$H$5:$H$14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8A-433D-9C5C-5006FCCA6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10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leHypothesisTable" displayName="RoleHypothesisTable" ref="A1:J6">
  <tableColumns count="10">
    <tableColumn id="1" xr3:uid="{00000000-0010-0000-0000-000001000000}" name="Priority"/>
    <tableColumn id="2" xr3:uid="{00000000-0010-0000-0000-000002000000}" name="Role family"/>
    <tableColumn id="3" xr3:uid="{00000000-0010-0000-0000-000003000000}" name="Why this is your contribution"/>
    <tableColumn id="4" xr3:uid="{00000000-0010-0000-0000-000004000000}" name="Must prove"/>
    <tableColumn id="5" xr3:uid="{00000000-0010-0000-0000-000005000000}" name="Disqualifier"/>
    <tableColumn id="6" xr3:uid="{00000000-0010-0000-0000-000006000000}" name="Internal validation required"/>
    <tableColumn id="7" xr3:uid="{00000000-0010-0000-0000-000007000000}" name="Compensation question"/>
    <tableColumn id="8" xr3:uid="{00000000-0010-0000-0000-000008000000}" name="Status"/>
    <tableColumn id="9" xr3:uid="{00000000-0010-0000-0000-000009000000}" name="Evidence"/>
    <tableColumn id="10" xr3:uid="{00000000-0010-0000-0000-00000A000000}" name="De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gramPhasesTable" displayName="ProgramPhasesTable" ref="A1:M7">
  <tableColumns count="13">
    <tableColumn id="1" xr3:uid="{00000000-0010-0000-0100-000001000000}" name="Phase"/>
    <tableColumn id="2" xr3:uid="{00000000-0010-0000-0100-000002000000}" name="Days"/>
    <tableColumn id="3" xr3:uid="{00000000-0010-0000-0100-000003000000}" name="Founder hours"/>
    <tableColumn id="4" xr3:uid="{00000000-0010-0000-0100-000004000000}" name="Primary outcome"/>
    <tableColumn id="5" xr3:uid="{00000000-0010-0000-0100-000005000000}" name="Decision360"/>
    <tableColumn id="6" xr3:uid="{00000000-0010-0000-0100-000006000000}" name="Agent Benchmark"/>
    <tableColumn id="7" xr3:uid="{00000000-0010-0000-0100-000007000000}" name="Transformation Mapper"/>
    <tableColumn id="8" xr3:uid="{00000000-0010-0000-0100-000008000000}" name="Commerce Growth"/>
    <tableColumn id="9" xr3:uid="{00000000-0010-0000-0100-000009000000}" name="External proof"/>
    <tableColumn id="10" xr3:uid="{00000000-0010-0000-0100-00000A000000}" name="Google proof"/>
    <tableColumn id="11" xr3:uid="{00000000-0010-0000-0100-00000B000000}" name="Hard gate"/>
    <tableColumn id="12" xr3:uid="{00000000-0010-0000-0100-00000C000000}" name="Failure response"/>
    <tableColumn id="13" xr3:uid="{00000000-0010-0000-0100-00000D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ilyMountainPlanTable" displayName="DailyMountainPlanTable" ref="A1:M91">
  <tableColumns count="13">
    <tableColumn id="1" xr3:uid="{00000000-0010-0000-0200-000001000000}" name="Day"/>
    <tableColumn id="2" xr3:uid="{00000000-0010-0000-0200-000002000000}" name="Week"/>
    <tableColumn id="3" xr3:uid="{00000000-0010-0000-0200-000003000000}" name="Date"/>
    <tableColumn id="4" xr3:uid="{00000000-0010-0000-0200-000004000000}" name="Phase"/>
    <tableColumn id="5" xr3:uid="{00000000-0010-0000-0200-000005000000}" name="Primary focus"/>
    <tableColumn id="6" xr3:uid="{00000000-0010-0000-0200-000006000000}" name="Hour 1 — Rick"/>
    <tableColumn id="7" xr3:uid="{00000000-0010-0000-0200-000007000000}" name="Hour 2 — Rick"/>
    <tableColumn id="8" xr3:uid="{00000000-0010-0000-0200-000008000000}" name="Codex overnight handoff"/>
    <tableColumn id="9" xr3:uid="{00000000-0010-0000-0200-000009000000}" name="Required evidence"/>
    <tableColumn id="10" xr3:uid="{00000000-0010-0000-0200-00000A000000}" name="Gate contribution"/>
    <tableColumn id="11" xr3:uid="{00000000-0010-0000-0200-00000B000000}" name="Status"/>
    <tableColumn id="12" xr3:uid="{00000000-0010-0000-0200-00000C000000}" name="Hours"/>
    <tableColumn id="13" xr3:uid="{00000000-0010-0000-0200-00000D000000}" name="Blocker / lear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PortfolioTable" displayName="ProductPortfolioTable" ref="A1:O5">
  <tableColumns count="15">
    <tableColumn id="1" xr3:uid="{00000000-0010-0000-0300-000001000000}" name="Product"/>
    <tableColumn id="2" xr3:uid="{00000000-0010-0000-0300-000002000000}" name="90-day state"/>
    <tableColumn id="3" xr3:uid="{00000000-0010-0000-0300-000003000000}" name="Founder effort %"/>
    <tableColumn id="4" xr3:uid="{00000000-0010-0000-0300-000004000000}" name="Buyer"/>
    <tableColumn id="5" xr3:uid="{00000000-0010-0000-0300-000005000000}" name="Core decision"/>
    <tableColumn id="6" xr3:uid="{00000000-0010-0000-0300-000006000000}" name="Google foundation"/>
    <tableColumn id="7" xr3:uid="{00000000-0010-0000-0300-000007000000}" name="Non-Google differentiation"/>
    <tableColumn id="8" xr3:uid="{00000000-0010-0000-0300-000008000000}" name="Validation minimum"/>
    <tableColumn id="9" xr3:uid="{00000000-0010-0000-0300-000009000000}" name="Product proof"/>
    <tableColumn id="10" xr3:uid="{00000000-0010-0000-0300-00000A000000}" name="Technical proof"/>
    <tableColumn id="11" xr3:uid="{00000000-0010-0000-0300-00000B000000}" name="Economic proof"/>
    <tableColumn id="12" xr3:uid="{00000000-0010-0000-0300-00000C000000}" name="Public artifact"/>
    <tableColumn id="13" xr3:uid="{00000000-0010-0000-0300-00000D000000}" name="Kill / narrow condition"/>
    <tableColumn id="14" xr3:uid="{00000000-0010-0000-0300-00000E000000}" name="Status"/>
    <tableColumn id="15" xr3:uid="{00000000-0010-0000-0300-00000F000000}" name="Score /10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signPartnerTable" displayName="DesignPartnerTable" ref="A1:L13">
  <tableColumns count="12">
    <tableColumn id="1" xr3:uid="{00000000-0010-0000-0400-000001000000}" name="ID"/>
    <tableColumn id="2" xr3:uid="{00000000-0010-0000-0400-000002000000}" name="Product"/>
    <tableColumn id="3" xr3:uid="{00000000-0010-0000-0400-000003000000}" name="Reviewer profile"/>
    <tableColumn id="4" xr3:uid="{00000000-0010-0000-0400-000004000000}" name="Target count"/>
    <tableColumn id="5" xr3:uid="{00000000-0010-0000-0400-000005000000}" name="Round"/>
    <tableColumn id="6" xr3:uid="{00000000-0010-0000-0400-000006000000}" name="Hypothesis to test"/>
    <tableColumn id="7" xr3:uid="{00000000-0010-0000-0400-000007000000}" name="Evidence required"/>
    <tableColumn id="8" xr3:uid="{00000000-0010-0000-0400-000008000000}" name="Exact ask"/>
    <tableColumn id="9" xr3:uid="{00000000-0010-0000-0400-000009000000}" name="Scheduled date"/>
    <tableColumn id="10" xr3:uid="{00000000-0010-0000-0400-00000A000000}" name="Interview date"/>
    <tableColumn id="11" xr3:uid="{00000000-0010-0000-0400-00000B000000}" name="Status"/>
    <tableColumn id="12" xr3:uid="{00000000-0010-0000-0400-00000C000000}" name="Product change / resu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etitiveLandscapeTable" displayName="CompetitiveLandscapeTable" ref="A1:N8">
  <tableColumns count="14">
    <tableColumn id="1" xr3:uid="{00000000-0010-0000-0500-000001000000}" name="Product"/>
    <tableColumn id="2" xr3:uid="{00000000-0010-0000-0500-000002000000}" name="Competitor / alternative"/>
    <tableColumn id="3" xr3:uid="{00000000-0010-0000-0500-000003000000}" name="What it already does well"/>
    <tableColumn id="4" xr3:uid="{00000000-0010-0000-0500-000004000000}" name="Why buyer naturally chooses it"/>
    <tableColumn id="5" xr3:uid="{00000000-0010-0000-0500-000005000000}" name="Gap we claim"/>
    <tableColumn id="6" xr3:uid="{00000000-0010-0000-0500-000006000000}" name="Our defensible difference"/>
    <tableColumn id="7" xr3:uid="{00000000-0010-0000-0500-000007000000}" name="Google-specific advantage"/>
    <tableColumn id="8" xr3:uid="{00000000-0010-0000-0500-000008000000}" name="Interoperability stance"/>
    <tableColumn id="9" xr3:uid="{00000000-0010-0000-0500-000009000000}" name="Evidence needed"/>
    <tableColumn id="10" xr3:uid="{00000000-0010-0000-0500-00000A000000}" name="Kill criterion"/>
    <tableColumn id="11" xr3:uid="{00000000-0010-0000-0500-00000B000000}" name="Reviewer verdict"/>
    <tableColumn id="12" xr3:uid="{00000000-0010-0000-0500-00000C000000}" name="Status"/>
    <tableColumn id="13" xr3:uid="{00000000-0010-0000-0500-00000D000000}" name="Source URL"/>
    <tableColumn id="14" xr3:uid="{00000000-0010-0000-0500-00000E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oogleCommercialValueTable" displayName="GoogleCommercialValueTable" ref="A1:L5">
  <tableColumns count="12">
    <tableColumn id="1" xr3:uid="{00000000-0010-0000-0600-000001000000}" name="Product"/>
    <tableColumn id="2" xr3:uid="{00000000-0010-0000-0600-000002000000}" name="Entry use case"/>
    <tableColumn id="3" xr3:uid="{00000000-0010-0000-0600-000003000000}" name="Customer value"/>
    <tableColumn id="4" xr3:uid="{00000000-0010-0000-0600-000004000000}" name="Google land motion"/>
    <tableColumn id="5" xr3:uid="{00000000-0010-0000-0600-000005000000}" name="Expansion motion"/>
    <tableColumn id="6" xr3:uid="{00000000-0010-0000-0600-000006000000}" name="Google services consumed"/>
    <tableColumn id="7" xr3:uid="{00000000-0010-0000-0600-000007000000}" name="Why Google vs Azure/AWS"/>
    <tableColumn id="8" xr3:uid="{00000000-0010-0000-0600-000008000000}" name="Partner / services pull-through"/>
    <tableColumn id="9" xr3:uid="{00000000-0010-0000-0600-000009000000}" name="Target enterprise count"/>
    <tableColumn id="10" xr3:uid="{00000000-0010-0000-0600-00000A000000}" name="Assumptions to validate"/>
    <tableColumn id="11" xr3:uid="{00000000-0010-0000-0600-00000B000000}" name="Status"/>
    <tableColumn id="12" xr3:uid="{00000000-0010-0000-0600-00000C000000}" name="Ev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underDecisionLogTable" displayName="FounderDecisionLogTable" ref="A1:M200">
  <tableColumns count="13">
    <tableColumn id="1" xr3:uid="{00000000-0010-0000-0700-000001000000}" name="Decision ID"/>
    <tableColumn id="2" xr3:uid="{00000000-0010-0000-0700-000002000000}" name="Date"/>
    <tableColumn id="3" xr3:uid="{00000000-0010-0000-0700-000003000000}" name="Product"/>
    <tableColumn id="4" xr3:uid="{00000000-0010-0000-0700-000004000000}" name="Decision"/>
    <tableColumn id="5" xr3:uid="{00000000-0010-0000-0700-000005000000}" name="Options considered"/>
    <tableColumn id="6" xr3:uid="{00000000-0010-0000-0700-000006000000}" name="Codex / technical recommendation"/>
    <tableColumn id="7" xr3:uid="{00000000-0010-0000-0700-000007000000}" name="Business implications"/>
    <tableColumn id="8" xr3:uid="{00000000-0010-0000-0700-000008000000}" name="Evidence"/>
    <tableColumn id="9" xr3:uid="{00000000-0010-0000-0700-000009000000}" name="Rick decision"/>
    <tableColumn id="10" xr3:uid="{00000000-0010-0000-0700-00000A000000}" name="Reason"/>
    <tableColumn id="11" xr3:uid="{00000000-0010-0000-0700-00000B000000}" name="Reversal trigger"/>
    <tableColumn id="12" xr3:uid="{00000000-0010-0000-0700-00000C000000}" name="Outcome"/>
    <tableColumn id="13" xr3:uid="{00000000-0010-0000-0700-00000D000000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HistoricalPortfolioTable" displayName="HistoricalPortfolioTable" ref="A1:N6">
  <tableColumns count="14">
    <tableColumn id="1" xr3:uid="{00000000-0010-0000-0800-000001000000}" name="Case"/>
    <tableColumn id="2" xr3:uid="{00000000-0010-0000-0800-000002000000}" name="Company / context"/>
    <tableColumn id="3" xr3:uid="{00000000-0010-0000-0800-000003000000}" name="Problem"/>
    <tableColumn id="4" xr3:uid="{00000000-0010-0000-0800-000004000000}" name="User / buyer"/>
    <tableColumn id="5" xr3:uid="{00000000-0010-0000-0800-000005000000}" name="Your personal role"/>
    <tableColumn id="6" xr3:uid="{00000000-0010-0000-0800-000006000000}" name="Team"/>
    <tableColumn id="7" xr3:uid="{00000000-0010-0000-0800-000007000000}" name="Product / solution"/>
    <tableColumn id="8" xr3:uid="{00000000-0010-0000-0800-000008000000}" name="Reusable element"/>
    <tableColumn id="9" xr3:uid="{00000000-0010-0000-0800-000009000000}" name="Launch / adoption"/>
    <tableColumn id="10" xr3:uid="{00000000-0010-0000-0800-00000A000000}" name="Business result"/>
    <tableColumn id="11" xr3:uid="{00000000-0010-0000-0800-00000B000000}" name="Failure / learning"/>
    <tableColumn id="12" xr3:uid="{00000000-0010-0000-0800-00000C000000}" name="Safe public evidence"/>
    <tableColumn id="13" xr3:uid="{00000000-0010-0000-0800-00000D000000}" name="IP risk"/>
    <tableColumn id="14" xr3:uid="{00000000-0010-0000-0800-00000E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IPCleanRoomTable" displayName="IPCleanRoomTable" ref="A1:K7">
  <tableColumns count="11">
    <tableColumn id="1" xr3:uid="{00000000-0010-0000-0900-000001000000}" name="Check ID"/>
    <tableColumn id="2" xr3:uid="{00000000-0010-0000-0900-000002000000}" name="Product / asset"/>
    <tableColumn id="3" xr3:uid="{00000000-0010-0000-0900-000003000000}" name="Question"/>
    <tableColumn id="4" xr3:uid="{00000000-0010-0000-0900-000004000000}" name="Required evidence"/>
    <tableColumn id="5" xr3:uid="{00000000-0010-0000-0900-000005000000}" name="Risk level"/>
    <tableColumn id="6" xr3:uid="{00000000-0010-0000-0900-000006000000}" name="Owner"/>
    <tableColumn id="7" xr3:uid="{00000000-0010-0000-0900-000007000000}" name="Legal / employer review needed?"/>
    <tableColumn id="8" xr3:uid="{00000000-0010-0000-0900-000008000000}" name="Status"/>
    <tableColumn id="9" xr3:uid="{00000000-0010-0000-0900-000009000000}" name="Decision"/>
    <tableColumn id="10" xr3:uid="{00000000-0010-0000-0900-00000A000000}" name="Public wording"/>
    <tableColumn id="11" xr3:uid="{00000000-0010-0000-0900-00000B000000}" name="Reviewe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BulletproofCodexBacklogTable" displayName="BulletproofCodexBacklogTable" ref="A1:Q24">
  <tableColumns count="17">
    <tableColumn id="1" xr3:uid="{00000000-0010-0000-0A00-000001000000}" name="Task ID"/>
    <tableColumn id="2" xr3:uid="{00000000-0010-0000-0A00-000002000000}" name="Phase"/>
    <tableColumn id="3" xr3:uid="{00000000-0010-0000-0A00-000003000000}" name="Product"/>
    <tableColumn id="4" xr3:uid="{00000000-0010-0000-0A00-000004000000}" name="Priority"/>
    <tableColumn id="5" xr3:uid="{00000000-0010-0000-0A00-000005000000}" name="Workstream"/>
    <tableColumn id="6" xr3:uid="{00000000-0010-0000-0A00-000006000000}" name="Task"/>
    <tableColumn id="7" xr3:uid="{00000000-0010-0000-0A00-000007000000}" name="Codex instruction"/>
    <tableColumn id="8" xr3:uid="{00000000-0010-0000-0A00-000008000000}" name="Inputs"/>
    <tableColumn id="9" xr3:uid="{00000000-0010-0000-0A00-000009000000}" name="Expected output"/>
    <tableColumn id="10" xr3:uid="{00000000-0010-0000-0A00-00000A000000}" name="Acceptance test"/>
    <tableColumn id="11" xr3:uid="{00000000-0010-0000-0A00-00000B000000}" name="Rick decision required"/>
    <tableColumn id="12" xr3:uid="{00000000-0010-0000-0A00-00000C000000}" name="Evidence artifact"/>
    <tableColumn id="13" xr3:uid="{00000000-0010-0000-0A00-00000D000000}" name="Effort"/>
    <tableColumn id="14" xr3:uid="{00000000-0010-0000-0A00-00000E000000}" name="Due day"/>
    <tableColumn id="15" xr3:uid="{00000000-0010-0000-0A00-00000F000000}" name="Status"/>
    <tableColumn id="16" xr3:uid="{00000000-0010-0000-0A00-000010000000}" name="Dependency"/>
    <tableColumn id="17" xr3:uid="{00000000-0010-0000-0A00-000011000000}" name="Failure respons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aunchProminenceTable" displayName="LaunchProminenceTable" ref="A1:L8">
  <tableColumns count="12">
    <tableColumn id="1" xr3:uid="{00000000-0010-0000-0B00-000001000000}" name="Asset"/>
    <tableColumn id="2" xr3:uid="{00000000-0010-0000-0B00-000002000000}" name="Primary audience"/>
    <tableColumn id="3" xr3:uid="{00000000-0010-0000-0B00-000003000000}" name="Claim"/>
    <tableColumn id="4" xr3:uid="{00000000-0010-0000-0B00-000004000000}" name="Evidence required"/>
    <tableColumn id="5" xr3:uid="{00000000-0010-0000-0B00-000005000000}" name="Format"/>
    <tableColumn id="6" xr3:uid="{00000000-0010-0000-0B00-000006000000}" name="Due day"/>
    <tableColumn id="7" xr3:uid="{00000000-0010-0000-0B00-000007000000}" name="Quality gate"/>
    <tableColumn id="8" xr3:uid="{00000000-0010-0000-0B00-000008000000}" name="Status"/>
    <tableColumn id="9" xr3:uid="{00000000-0010-0000-0B00-000009000000}" name="Publish date"/>
    <tableColumn id="10" xr3:uid="{00000000-0010-0000-0B00-00000A000000}" name="URL"/>
    <tableColumn id="11" xr3:uid="{00000000-0010-0000-0B00-00000B000000}" name="Distribution"/>
    <tableColumn id="12" xr3:uid="{00000000-0010-0000-0B00-00000C000000}" name="Success sign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GoogleLaunchPackageTable" displayName="GoogleLaunchPackageTable" ref="A1:K9">
  <tableColumns count="11">
    <tableColumn id="1" xr3:uid="{00000000-0010-0000-0C00-000001000000}" name="Package item"/>
    <tableColumn id="2" xr3:uid="{00000000-0010-0000-0C00-000002000000}" name="Target role / team"/>
    <tableColumn id="3" xr3:uid="{00000000-0010-0000-0C00-000003000000}" name="Purpose"/>
    <tableColumn id="4" xr3:uid="{00000000-0010-0000-0C00-000004000000}" name="Required content"/>
    <tableColumn id="5" xr3:uid="{00000000-0010-0000-0C00-000005000000}" name="Evidence link"/>
    <tableColumn id="6" xr3:uid="{00000000-0010-0000-0C00-000006000000}" name="Reviewer"/>
    <tableColumn id="7" xr3:uid="{00000000-0010-0000-0C00-000007000000}" name="Mock score /5"/>
    <tableColumn id="8" xr3:uid="{00000000-0010-0000-0C00-000008000000}" name="Status"/>
    <tableColumn id="9" xr3:uid="{00000000-0010-0000-0C00-000009000000}" name="Due day"/>
    <tableColumn id="10" xr3:uid="{00000000-0010-0000-0C00-00000A000000}" name="Failure threshold"/>
    <tableColumn id="11" xr3:uid="{00000000-0010-0000-0C00-00000B000000}" name="Recove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0"/>
  <sheetViews>
    <sheetView workbookViewId="0">
      <selection activeCell="A5" sqref="A5"/>
    </sheetView>
  </sheetViews>
  <sheetFormatPr defaultRowHeight="13.8"/>
  <cols>
    <col min="1" max="1" width="25" customWidth="1"/>
    <col min="2" max="2" width="58" customWidth="1"/>
    <col min="4" max="4" width="34" customWidth="1"/>
    <col min="5" max="10" width="18" customWidth="1"/>
  </cols>
  <sheetData>
    <row r="1" spans="1:2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1</v>
      </c>
      <c r="B4" s="2" t="s">
        <v>2</v>
      </c>
      <c r="C4" s="1"/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" t="s">
        <v>10</v>
      </c>
      <c r="B5" s="4" t="s">
        <v>11</v>
      </c>
      <c r="C5" s="1"/>
      <c r="D5" s="1" t="s">
        <v>12</v>
      </c>
      <c r="E5" s="5">
        <v>0.2</v>
      </c>
      <c r="F5" s="1">
        <v>90</v>
      </c>
      <c r="G5" s="6">
        <v>0</v>
      </c>
      <c r="H5" s="6">
        <f t="shared" ref="H5:H14" si="0">E5*G5/100</f>
        <v>0</v>
      </c>
      <c r="I5" s="1" t="str">
        <f t="shared" ref="I5:I14" si="1">IF(G5&gt;=F5,"Ready",IF(G5&gt;=F5*0.75,"Watch","Gap"))</f>
        <v>Gap</v>
      </c>
      <c r="J5" s="1" t="s">
        <v>13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3" t="s">
        <v>14</v>
      </c>
      <c r="B6" s="4" t="s">
        <v>15</v>
      </c>
      <c r="C6" s="1"/>
      <c r="D6" s="1" t="s">
        <v>16</v>
      </c>
      <c r="E6" s="5">
        <v>0.15</v>
      </c>
      <c r="F6" s="1">
        <v>80</v>
      </c>
      <c r="G6" s="6">
        <v>0</v>
      </c>
      <c r="H6" s="6">
        <f t="shared" si="0"/>
        <v>0</v>
      </c>
      <c r="I6" s="1" t="str">
        <f t="shared" si="1"/>
        <v>Gap</v>
      </c>
      <c r="J6" s="1" t="s">
        <v>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3" t="s">
        <v>18</v>
      </c>
      <c r="B7" s="4" t="s">
        <v>19</v>
      </c>
      <c r="C7" s="1"/>
      <c r="D7" s="1" t="s">
        <v>20</v>
      </c>
      <c r="E7" s="5">
        <v>0.12</v>
      </c>
      <c r="F7" s="1">
        <v>85</v>
      </c>
      <c r="G7" s="6">
        <v>0</v>
      </c>
      <c r="H7" s="6">
        <f t="shared" si="0"/>
        <v>0</v>
      </c>
      <c r="I7" s="1" t="str">
        <f t="shared" si="1"/>
        <v>Gap</v>
      </c>
      <c r="J7" s="1" t="s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22</v>
      </c>
      <c r="B8" s="4" t="s">
        <v>23</v>
      </c>
      <c r="C8" s="1"/>
      <c r="D8" s="1" t="s">
        <v>24</v>
      </c>
      <c r="E8" s="5">
        <v>0.1</v>
      </c>
      <c r="F8" s="1">
        <v>90</v>
      </c>
      <c r="G8" s="6">
        <v>0</v>
      </c>
      <c r="H8" s="6">
        <f t="shared" si="0"/>
        <v>0</v>
      </c>
      <c r="I8" s="1" t="str">
        <f t="shared" si="1"/>
        <v>Gap</v>
      </c>
      <c r="J8" s="1" t="s">
        <v>25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26</v>
      </c>
      <c r="B9" s="4" t="s">
        <v>27</v>
      </c>
      <c r="C9" s="1"/>
      <c r="D9" s="1" t="s">
        <v>28</v>
      </c>
      <c r="E9" s="5">
        <v>0.1</v>
      </c>
      <c r="F9" s="1">
        <v>75</v>
      </c>
      <c r="G9" s="6">
        <v>0</v>
      </c>
      <c r="H9" s="6">
        <f t="shared" si="0"/>
        <v>0</v>
      </c>
      <c r="I9" s="1" t="str">
        <f t="shared" si="1"/>
        <v>Gap</v>
      </c>
      <c r="J9" s="1" t="s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3" t="s">
        <v>30</v>
      </c>
      <c r="B10" s="4" t="s">
        <v>31</v>
      </c>
      <c r="C10" s="1"/>
      <c r="D10" s="1" t="s">
        <v>32</v>
      </c>
      <c r="E10" s="5">
        <v>0.1</v>
      </c>
      <c r="F10" s="1">
        <v>80</v>
      </c>
      <c r="G10" s="6">
        <v>0</v>
      </c>
      <c r="H10" s="6">
        <f t="shared" si="0"/>
        <v>0</v>
      </c>
      <c r="I10" s="1" t="str">
        <f t="shared" si="1"/>
        <v>Gap</v>
      </c>
      <c r="J10" s="1" t="s">
        <v>33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3" t="s">
        <v>34</v>
      </c>
      <c r="B11" s="4" t="s">
        <v>35</v>
      </c>
      <c r="C11" s="1"/>
      <c r="D11" s="1" t="s">
        <v>36</v>
      </c>
      <c r="E11" s="5">
        <v>0.08</v>
      </c>
      <c r="F11" s="1">
        <v>80</v>
      </c>
      <c r="G11" s="6">
        <v>0</v>
      </c>
      <c r="H11" s="6">
        <f t="shared" si="0"/>
        <v>0</v>
      </c>
      <c r="I11" s="1" t="str">
        <f t="shared" si="1"/>
        <v>Gap</v>
      </c>
      <c r="J11" s="1" t="s">
        <v>37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>
      <c r="A12" s="3" t="s">
        <v>38</v>
      </c>
      <c r="B12" s="4" t="s">
        <v>39</v>
      </c>
      <c r="C12" s="1"/>
      <c r="D12" s="1" t="s">
        <v>40</v>
      </c>
      <c r="E12" s="5">
        <v>0.08</v>
      </c>
      <c r="F12" s="1">
        <v>100</v>
      </c>
      <c r="G12" s="6">
        <v>0</v>
      </c>
      <c r="H12" s="6">
        <f t="shared" si="0"/>
        <v>0</v>
      </c>
      <c r="I12" s="1" t="str">
        <f t="shared" si="1"/>
        <v>Gap</v>
      </c>
      <c r="J12" s="1" t="s">
        <v>41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>
      <c r="A13" s="3" t="s">
        <v>42</v>
      </c>
      <c r="B13" s="4" t="s">
        <v>43</v>
      </c>
      <c r="C13" s="1"/>
      <c r="D13" s="1" t="s">
        <v>44</v>
      </c>
      <c r="E13" s="5">
        <v>0.04</v>
      </c>
      <c r="F13" s="1">
        <v>100</v>
      </c>
      <c r="G13" s="6">
        <v>0</v>
      </c>
      <c r="H13" s="6">
        <f t="shared" si="0"/>
        <v>0</v>
      </c>
      <c r="I13" s="1" t="str">
        <f t="shared" si="1"/>
        <v>Gap</v>
      </c>
      <c r="J13" s="1" t="s">
        <v>45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3" t="s">
        <v>46</v>
      </c>
      <c r="B14" s="4" t="s">
        <v>47</v>
      </c>
      <c r="C14" s="1"/>
      <c r="D14" s="1" t="s">
        <v>48</v>
      </c>
      <c r="E14" s="5">
        <v>0.03</v>
      </c>
      <c r="F14" s="1">
        <v>100</v>
      </c>
      <c r="G14" s="6">
        <v>0</v>
      </c>
      <c r="H14" s="6">
        <f t="shared" si="0"/>
        <v>0</v>
      </c>
      <c r="I14" s="1" t="str">
        <f t="shared" si="1"/>
        <v>Gap</v>
      </c>
      <c r="J14" s="1" t="s">
        <v>49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1.4">
      <c r="A16" s="2" t="s">
        <v>50</v>
      </c>
      <c r="B16" s="2" t="s">
        <v>51</v>
      </c>
      <c r="C16" s="2" t="s">
        <v>52</v>
      </c>
      <c r="D16" s="2" t="s">
        <v>53</v>
      </c>
      <c r="E16" s="2" t="s">
        <v>54</v>
      </c>
      <c r="F16" s="2" t="s">
        <v>55</v>
      </c>
      <c r="G16" s="2" t="s">
        <v>56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5.6">
      <c r="A17" s="4" t="s">
        <v>57</v>
      </c>
      <c r="B17" s="4">
        <v>10</v>
      </c>
      <c r="C17" s="4" t="s">
        <v>58</v>
      </c>
      <c r="D17" s="1" t="s">
        <v>59</v>
      </c>
      <c r="E17" s="1" t="s">
        <v>60</v>
      </c>
      <c r="F17" s="6">
        <f>SUM(H5:H14)</f>
        <v>0</v>
      </c>
      <c r="G17" s="1" t="str">
        <f>IF(F17&gt;=80,"Strong launch",IF(F17&gt;=70,"Selective launch","Delay formal launch"))</f>
        <v>Delay formal launch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5.6">
      <c r="A18" s="4" t="s">
        <v>61</v>
      </c>
      <c r="B18" s="4">
        <v>20</v>
      </c>
      <c r="C18" s="4" t="s">
        <v>62</v>
      </c>
      <c r="D18" s="1" t="s">
        <v>63</v>
      </c>
      <c r="E18" s="1" t="s">
        <v>64</v>
      </c>
      <c r="F18" s="1">
        <f>F17</f>
        <v>0</v>
      </c>
      <c r="G18" s="1" t="str">
        <f>G17</f>
        <v>Delay formal launch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9.4">
      <c r="A19" s="4" t="s">
        <v>65</v>
      </c>
      <c r="B19" s="4">
        <v>45</v>
      </c>
      <c r="C19" s="4" t="s">
        <v>66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9.4">
      <c r="A20" s="4" t="s">
        <v>67</v>
      </c>
      <c r="B20" s="4">
        <v>60</v>
      </c>
      <c r="C20" s="4" t="s">
        <v>68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8">
      <c r="A21" s="4" t="s">
        <v>69</v>
      </c>
      <c r="B21" s="4">
        <v>75</v>
      </c>
      <c r="C21" s="4" t="s">
        <v>70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5.6">
      <c r="A22" s="4" t="s">
        <v>71</v>
      </c>
      <c r="B22" s="4">
        <v>85</v>
      </c>
      <c r="C22" s="4" t="s">
        <v>72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5.6">
      <c r="A23" s="4" t="s">
        <v>73</v>
      </c>
      <c r="B23" s="4">
        <v>90</v>
      </c>
      <c r="C23" s="4" t="s">
        <v>74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mergeCells count="1">
    <mergeCell ref="A1:J2"/>
  </mergeCells>
  <conditionalFormatting sqref="G5:G14">
    <cfRule type="dataBar" priority="1">
      <dataBar>
        <cfvo type="min"/>
        <cfvo type="max"/>
        <color rgb="FF2F75B5"/>
      </dataBar>
    </cfRule>
    <cfRule type="dataBar" priority="4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{52C91449-CBC7-ECC4-9FA2-668C83A5804F}</x14:id>
        </ext>
      </extLst>
    </cfRule>
  </conditionalFormatting>
  <conditionalFormatting sqref="I5:I14">
    <cfRule type="expression" dxfId="5" priority="2">
      <formula>I5="Ready"</formula>
    </cfRule>
    <cfRule type="expression" dxfId="4" priority="3">
      <formula>I5="Gap"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C91449-CBC7-ECC4-9FA2-668C83A5804F}">
            <x14:dataBar>
              <x14:cfvo type="min"/>
              <x14:cfvo type="max"/>
              <x14:negativeFillColor auto="1"/>
              <x14:axisColor auto="1"/>
            </x14:dataBar>
          </x14:cfRule>
          <xm:sqref>G5:G14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0"/>
  <sheetViews>
    <sheetView workbookViewId="0">
      <selection activeCell="A2" sqref="A2"/>
    </sheetView>
  </sheetViews>
  <sheetFormatPr defaultRowHeight="13.8"/>
  <cols>
    <col min="1" max="1" width="8" customWidth="1"/>
    <col min="2" max="2" width="34" customWidth="1"/>
    <col min="3" max="3" width="44" customWidth="1"/>
    <col min="4" max="4" width="38" customWidth="1"/>
    <col min="5" max="5" width="34" customWidth="1"/>
    <col min="6" max="6" width="38" customWidth="1"/>
    <col min="7" max="7" width="34" customWidth="1"/>
    <col min="8" max="8" width="14" customWidth="1"/>
    <col min="9" max="9" width="30" customWidth="1"/>
    <col min="10" max="10" width="28" customWidth="1"/>
  </cols>
  <sheetData>
    <row r="1" spans="1:26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56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4">
        <v>1</v>
      </c>
      <c r="B2" s="4" t="s">
        <v>84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4">
        <v>2</v>
      </c>
      <c r="B3" s="4" t="s">
        <v>91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90</v>
      </c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>
        <v>3</v>
      </c>
      <c r="B4" s="4" t="s">
        <v>97</v>
      </c>
      <c r="C4" s="4" t="s">
        <v>98</v>
      </c>
      <c r="D4" s="4" t="s">
        <v>99</v>
      </c>
      <c r="E4" s="4" t="s">
        <v>100</v>
      </c>
      <c r="F4" s="4" t="s">
        <v>101</v>
      </c>
      <c r="G4" s="4" t="s">
        <v>102</v>
      </c>
      <c r="H4" s="4" t="s">
        <v>90</v>
      </c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>
        <v>4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90</v>
      </c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>
        <v>5</v>
      </c>
      <c r="B6" s="4" t="s">
        <v>109</v>
      </c>
      <c r="C6" s="4" t="s">
        <v>110</v>
      </c>
      <c r="D6" s="4" t="s">
        <v>111</v>
      </c>
      <c r="E6" s="4" t="s">
        <v>112</v>
      </c>
      <c r="F6" s="4" t="s">
        <v>113</v>
      </c>
      <c r="G6" s="4" t="s">
        <v>114</v>
      </c>
      <c r="H6" s="4" t="s">
        <v>90</v>
      </c>
      <c r="I6" s="4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5.2">
      <c r="A9" s="2" t="s">
        <v>115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  <c r="H9" s="2" t="s">
        <v>51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2.2">
      <c r="A10" s="4" t="s">
        <v>122</v>
      </c>
      <c r="B10" s="4"/>
      <c r="C10" s="4"/>
      <c r="D10" s="4"/>
      <c r="E10" s="4" t="str">
        <f t="shared" ref="E10:E15" si="0">IF(AND(B10&lt;&gt;"",C10&lt;&gt;"",B10=C10),"Yes","No/Unknown")</f>
        <v>No/Unknown</v>
      </c>
      <c r="F10" s="4" t="s">
        <v>123</v>
      </c>
      <c r="G10" s="4" t="s">
        <v>124</v>
      </c>
      <c r="H10" s="4">
        <v>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5.6">
      <c r="A11" s="4" t="s">
        <v>125</v>
      </c>
      <c r="B11" s="4"/>
      <c r="C11" s="4"/>
      <c r="D11" s="4"/>
      <c r="E11" s="4" t="str">
        <f t="shared" si="0"/>
        <v>No/Unknown</v>
      </c>
      <c r="F11" s="4" t="s">
        <v>126</v>
      </c>
      <c r="G11" s="4" t="s">
        <v>127</v>
      </c>
      <c r="H11" s="4">
        <v>10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5.6">
      <c r="A12" s="4" t="s">
        <v>128</v>
      </c>
      <c r="B12" s="4"/>
      <c r="C12" s="4"/>
      <c r="D12" s="4"/>
      <c r="E12" s="4" t="str">
        <f t="shared" si="0"/>
        <v>No/Unknown</v>
      </c>
      <c r="F12" s="4" t="s">
        <v>123</v>
      </c>
      <c r="G12" s="4" t="s">
        <v>129</v>
      </c>
      <c r="H12" s="4">
        <v>10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5.6">
      <c r="A13" s="4" t="s">
        <v>130</v>
      </c>
      <c r="B13" s="4"/>
      <c r="C13" s="4"/>
      <c r="D13" s="4"/>
      <c r="E13" s="4" t="str">
        <f t="shared" si="0"/>
        <v>No/Unknown</v>
      </c>
      <c r="F13" s="4" t="s">
        <v>123</v>
      </c>
      <c r="G13" s="4" t="s">
        <v>131</v>
      </c>
      <c r="H13" s="4">
        <v>10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8">
      <c r="A14" s="4" t="s">
        <v>132</v>
      </c>
      <c r="B14" s="4"/>
      <c r="C14" s="4"/>
      <c r="D14" s="4"/>
      <c r="E14" s="4" t="str">
        <f t="shared" si="0"/>
        <v>No/Unknown</v>
      </c>
      <c r="F14" s="4" t="s">
        <v>126</v>
      </c>
      <c r="G14" s="4" t="s">
        <v>133</v>
      </c>
      <c r="H14" s="4">
        <v>14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1.80000000000001">
      <c r="A15" s="4" t="s">
        <v>134</v>
      </c>
      <c r="B15" s="4"/>
      <c r="C15" s="4"/>
      <c r="D15" s="4"/>
      <c r="E15" s="4" t="str">
        <f t="shared" si="0"/>
        <v>No/Unknown</v>
      </c>
      <c r="F15" s="4" t="s">
        <v>123</v>
      </c>
      <c r="G15" s="4" t="s">
        <v>135</v>
      </c>
      <c r="H15" s="4">
        <v>14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5.2">
      <c r="A18" s="2" t="s">
        <v>136</v>
      </c>
      <c r="B18" s="2" t="s">
        <v>137</v>
      </c>
      <c r="C18" s="2" t="s">
        <v>138</v>
      </c>
      <c r="D18" s="2" t="s">
        <v>139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9.8">
      <c r="A19" s="4" t="s">
        <v>140</v>
      </c>
      <c r="B19" s="4" t="s">
        <v>141</v>
      </c>
      <c r="C19" s="4" t="s">
        <v>142</v>
      </c>
      <c r="D19" s="4" t="s">
        <v>143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3.60000000000002">
      <c r="A20" s="4" t="s">
        <v>144</v>
      </c>
      <c r="B20" s="4" t="s">
        <v>145</v>
      </c>
      <c r="C20" s="4" t="s">
        <v>146</v>
      </c>
      <c r="D20" s="4" t="s">
        <v>147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34.6">
      <c r="A21" s="4" t="s">
        <v>148</v>
      </c>
      <c r="B21" s="4" t="s">
        <v>149</v>
      </c>
      <c r="C21" s="4" t="s">
        <v>150</v>
      </c>
      <c r="D21" s="4" t="s">
        <v>151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8.4">
      <c r="A22" s="4" t="s">
        <v>152</v>
      </c>
      <c r="B22" s="4" t="s">
        <v>153</v>
      </c>
      <c r="C22" s="4" t="s">
        <v>154</v>
      </c>
      <c r="D22" s="4" t="s">
        <v>155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Lists!$A$2:$A$6</xm:f>
          </x14:formula1>
          <xm:sqref>H2:H6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0"/>
  <sheetViews>
    <sheetView tabSelected="1" workbookViewId="0">
      <selection activeCell="A5" sqref="A5"/>
    </sheetView>
  </sheetViews>
  <sheetFormatPr defaultRowHeight="13.8"/>
  <cols>
    <col min="1" max="1" width="28" customWidth="1"/>
    <col min="2" max="2" width="12" customWidth="1"/>
    <col min="3" max="3" width="14" customWidth="1"/>
    <col min="4" max="4" width="40" customWidth="1"/>
    <col min="5" max="8" width="28" customWidth="1"/>
    <col min="9" max="10" width="30" customWidth="1"/>
    <col min="11" max="11" width="28" customWidth="1"/>
    <col min="12" max="12" width="32" customWidth="1"/>
    <col min="13" max="13" width="14" customWidth="1"/>
  </cols>
  <sheetData>
    <row r="1" spans="1:26">
      <c r="A1" s="2" t="s">
        <v>156</v>
      </c>
      <c r="B1" s="2" t="s">
        <v>157</v>
      </c>
      <c r="C1" s="2" t="s">
        <v>158</v>
      </c>
      <c r="D1" s="2" t="s">
        <v>159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  <c r="J1" s="2" t="s">
        <v>165</v>
      </c>
      <c r="K1" s="2" t="s">
        <v>166</v>
      </c>
      <c r="L1" s="2" t="s">
        <v>167</v>
      </c>
      <c r="M1" s="2" t="s">
        <v>82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>
      <c r="A2" s="4" t="s">
        <v>168</v>
      </c>
      <c r="B2" s="4" t="s">
        <v>169</v>
      </c>
      <c r="C2" s="4">
        <v>28</v>
      </c>
      <c r="D2" s="4" t="s">
        <v>170</v>
      </c>
      <c r="E2" s="4" t="s">
        <v>171</v>
      </c>
      <c r="F2" s="4" t="s">
        <v>172</v>
      </c>
      <c r="G2" s="4" t="s">
        <v>173</v>
      </c>
      <c r="H2" s="4" t="s">
        <v>174</v>
      </c>
      <c r="I2" s="4" t="s">
        <v>175</v>
      </c>
      <c r="J2" s="4" t="s">
        <v>176</v>
      </c>
      <c r="K2" s="4" t="s">
        <v>177</v>
      </c>
      <c r="L2" s="4" t="s">
        <v>178</v>
      </c>
      <c r="M2" s="4" t="s">
        <v>90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4" t="s">
        <v>179</v>
      </c>
      <c r="B3" s="4" t="s">
        <v>180</v>
      </c>
      <c r="C3" s="4">
        <v>42</v>
      </c>
      <c r="D3" s="4" t="s">
        <v>181</v>
      </c>
      <c r="E3" s="4" t="s">
        <v>182</v>
      </c>
      <c r="F3" s="4" t="s">
        <v>183</v>
      </c>
      <c r="G3" s="4" t="s">
        <v>184</v>
      </c>
      <c r="H3" s="4" t="s">
        <v>185</v>
      </c>
      <c r="I3" s="4" t="s">
        <v>186</v>
      </c>
      <c r="J3" s="4" t="s">
        <v>187</v>
      </c>
      <c r="K3" s="4" t="s">
        <v>188</v>
      </c>
      <c r="L3" s="4" t="s">
        <v>189</v>
      </c>
      <c r="M3" s="4" t="s">
        <v>90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 t="s">
        <v>190</v>
      </c>
      <c r="B4" s="4" t="s">
        <v>191</v>
      </c>
      <c r="C4" s="4">
        <v>30</v>
      </c>
      <c r="D4" s="4" t="s">
        <v>192</v>
      </c>
      <c r="E4" s="4" t="s">
        <v>193</v>
      </c>
      <c r="F4" s="4" t="s">
        <v>194</v>
      </c>
      <c r="G4" s="4" t="s">
        <v>195</v>
      </c>
      <c r="H4" s="4" t="s">
        <v>196</v>
      </c>
      <c r="I4" s="4" t="s">
        <v>197</v>
      </c>
      <c r="J4" s="4" t="s">
        <v>198</v>
      </c>
      <c r="K4" s="4" t="s">
        <v>199</v>
      </c>
      <c r="L4" s="4" t="s">
        <v>200</v>
      </c>
      <c r="M4" s="4" t="s">
        <v>90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 t="s">
        <v>201</v>
      </c>
      <c r="B5" s="4" t="s">
        <v>202</v>
      </c>
      <c r="C5" s="4">
        <v>30</v>
      </c>
      <c r="D5" s="4" t="s">
        <v>203</v>
      </c>
      <c r="E5" s="4" t="s">
        <v>204</v>
      </c>
      <c r="F5" s="4" t="s">
        <v>205</v>
      </c>
      <c r="G5" s="4" t="s">
        <v>206</v>
      </c>
      <c r="H5" s="4" t="s">
        <v>207</v>
      </c>
      <c r="I5" s="4" t="s">
        <v>208</v>
      </c>
      <c r="J5" s="4" t="s">
        <v>209</v>
      </c>
      <c r="K5" s="4" t="s">
        <v>210</v>
      </c>
      <c r="L5" s="4" t="s">
        <v>211</v>
      </c>
      <c r="M5" s="4" t="s">
        <v>90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 t="s">
        <v>212</v>
      </c>
      <c r="B6" s="4" t="s">
        <v>213</v>
      </c>
      <c r="C6" s="4">
        <v>26</v>
      </c>
      <c r="D6" s="4" t="s">
        <v>214</v>
      </c>
      <c r="E6" s="4" t="s">
        <v>215</v>
      </c>
      <c r="F6" s="4" t="s">
        <v>216</v>
      </c>
      <c r="G6" s="4" t="s">
        <v>217</v>
      </c>
      <c r="H6" s="4" t="s">
        <v>218</v>
      </c>
      <c r="I6" s="4" t="s">
        <v>219</v>
      </c>
      <c r="J6" s="4" t="s">
        <v>220</v>
      </c>
      <c r="K6" s="4" t="s">
        <v>221</v>
      </c>
      <c r="L6" s="4" t="s">
        <v>222</v>
      </c>
      <c r="M6" s="4" t="s">
        <v>90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4" t="s">
        <v>223</v>
      </c>
      <c r="B7" s="4" t="s">
        <v>224</v>
      </c>
      <c r="C7" s="4">
        <v>24</v>
      </c>
      <c r="D7" s="4" t="s">
        <v>225</v>
      </c>
      <c r="E7" s="4" t="s">
        <v>226</v>
      </c>
      <c r="F7" s="4" t="s">
        <v>227</v>
      </c>
      <c r="G7" s="4" t="s">
        <v>228</v>
      </c>
      <c r="H7" s="4" t="s">
        <v>229</v>
      </c>
      <c r="I7" s="4" t="s">
        <v>230</v>
      </c>
      <c r="J7" s="4" t="s">
        <v>231</v>
      </c>
      <c r="K7" s="4" t="s">
        <v>232</v>
      </c>
      <c r="L7" s="4" t="s">
        <v>233</v>
      </c>
      <c r="M7" s="4" t="s">
        <v>90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2" t="s">
        <v>234</v>
      </c>
      <c r="B10" s="2" t="s">
        <v>235</v>
      </c>
      <c r="C10" s="2" t="s">
        <v>236</v>
      </c>
      <c r="D10" s="2" t="s">
        <v>51</v>
      </c>
      <c r="E10" s="2" t="s">
        <v>82</v>
      </c>
      <c r="F10" s="2" t="s">
        <v>237</v>
      </c>
      <c r="G10" s="2" t="s">
        <v>238</v>
      </c>
      <c r="H10" s="2" t="s">
        <v>239</v>
      </c>
      <c r="I10" s="2" t="s">
        <v>240</v>
      </c>
      <c r="J10" s="2" t="s">
        <v>241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1.4">
      <c r="A11" s="4" t="s">
        <v>242</v>
      </c>
      <c r="B11" s="4" t="s">
        <v>243</v>
      </c>
      <c r="C11" s="4" t="s">
        <v>244</v>
      </c>
      <c r="D11" s="4">
        <v>35</v>
      </c>
      <c r="E11" s="4" t="s">
        <v>90</v>
      </c>
      <c r="F11" s="4" t="s">
        <v>245</v>
      </c>
      <c r="G11" s="4" t="s">
        <v>245</v>
      </c>
      <c r="H11" s="4" t="s">
        <v>246</v>
      </c>
      <c r="I11" s="4" t="s">
        <v>247</v>
      </c>
      <c r="J11" s="4" t="s">
        <v>248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>
      <c r="A12" s="4" t="s">
        <v>249</v>
      </c>
      <c r="B12" s="4" t="s">
        <v>250</v>
      </c>
      <c r="C12" s="4" t="s">
        <v>251</v>
      </c>
      <c r="D12" s="4">
        <v>40</v>
      </c>
      <c r="E12" s="4" t="s">
        <v>90</v>
      </c>
      <c r="F12" s="4" t="s">
        <v>245</v>
      </c>
      <c r="G12" s="4" t="s">
        <v>245</v>
      </c>
      <c r="H12" s="4" t="s">
        <v>252</v>
      </c>
      <c r="I12" s="4" t="s">
        <v>253</v>
      </c>
      <c r="J12" s="4" t="s">
        <v>254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1.4">
      <c r="A13" s="4" t="s">
        <v>255</v>
      </c>
      <c r="B13" s="4" t="s">
        <v>250</v>
      </c>
      <c r="C13" s="4" t="s">
        <v>256</v>
      </c>
      <c r="D13" s="4">
        <v>55</v>
      </c>
      <c r="E13" s="4" t="s">
        <v>90</v>
      </c>
      <c r="F13" s="4" t="s">
        <v>245</v>
      </c>
      <c r="G13" s="4" t="s">
        <v>245</v>
      </c>
      <c r="H13" s="4" t="s">
        <v>257</v>
      </c>
      <c r="I13" s="4" t="s">
        <v>258</v>
      </c>
      <c r="J13" s="4" t="s">
        <v>259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1.4">
      <c r="A14" s="4" t="s">
        <v>260</v>
      </c>
      <c r="B14" s="4" t="s">
        <v>243</v>
      </c>
      <c r="C14" s="4" t="s">
        <v>261</v>
      </c>
      <c r="D14" s="4">
        <v>50</v>
      </c>
      <c r="E14" s="4" t="s">
        <v>90</v>
      </c>
      <c r="F14" s="4" t="s">
        <v>245</v>
      </c>
      <c r="G14" s="4" t="s">
        <v>245</v>
      </c>
      <c r="H14" s="4" t="s">
        <v>262</v>
      </c>
      <c r="I14" s="4" t="s">
        <v>263</v>
      </c>
      <c r="J14" s="4" t="s">
        <v>264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5.2">
      <c r="A15" s="4" t="s">
        <v>265</v>
      </c>
      <c r="B15" s="4" t="s">
        <v>266</v>
      </c>
      <c r="C15" s="4" t="s">
        <v>267</v>
      </c>
      <c r="D15" s="4">
        <v>60</v>
      </c>
      <c r="E15" s="4" t="s">
        <v>90</v>
      </c>
      <c r="F15" s="4" t="s">
        <v>245</v>
      </c>
      <c r="G15" s="4" t="s">
        <v>245</v>
      </c>
      <c r="H15" s="4" t="s">
        <v>268</v>
      </c>
      <c r="I15" s="4" t="s">
        <v>269</v>
      </c>
      <c r="J15" s="4" t="s">
        <v>270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1.4">
      <c r="A16" s="4" t="s">
        <v>271</v>
      </c>
      <c r="B16" s="4" t="s">
        <v>266</v>
      </c>
      <c r="C16" s="4" t="s">
        <v>272</v>
      </c>
      <c r="D16" s="4">
        <v>65</v>
      </c>
      <c r="E16" s="4" t="s">
        <v>90</v>
      </c>
      <c r="F16" s="4" t="s">
        <v>245</v>
      </c>
      <c r="G16" s="4" t="s">
        <v>245</v>
      </c>
      <c r="H16" s="4" t="s">
        <v>273</v>
      </c>
      <c r="I16" s="4" t="s">
        <v>274</v>
      </c>
      <c r="J16" s="4" t="s">
        <v>275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dataValidations count="1">
    <dataValidation type="list" sqref="F11:G16" xr:uid="{00000000-0002-0000-0200-000002000000}">
      <formula1>"No,Partial,Yes"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Lists!$A$2:$A$6</xm:f>
          </x14:formula1>
          <xm:sqref>M2:M7 E11:E16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50"/>
  <sheetViews>
    <sheetView workbookViewId="0"/>
  </sheetViews>
  <sheetFormatPr defaultRowHeight="13.8"/>
  <cols>
    <col min="1" max="2" width="7" customWidth="1"/>
    <col min="3" max="3" width="13" customWidth="1"/>
    <col min="4" max="5" width="24" customWidth="1"/>
    <col min="6" max="7" width="42" customWidth="1"/>
    <col min="8" max="8" width="38" customWidth="1"/>
    <col min="9" max="9" width="32" customWidth="1"/>
    <col min="10" max="10" width="12" customWidth="1"/>
    <col min="11" max="11" width="14" customWidth="1"/>
    <col min="12" max="12" width="10" customWidth="1"/>
    <col min="13" max="13" width="30" customWidth="1"/>
  </cols>
  <sheetData>
    <row r="1" spans="1:26" ht="27.6">
      <c r="A1" s="2" t="s">
        <v>276</v>
      </c>
      <c r="B1" s="2" t="s">
        <v>277</v>
      </c>
      <c r="C1" s="2" t="s">
        <v>278</v>
      </c>
      <c r="D1" s="2" t="s">
        <v>156</v>
      </c>
      <c r="E1" s="2" t="s">
        <v>279</v>
      </c>
      <c r="F1" s="2" t="s">
        <v>280</v>
      </c>
      <c r="G1" s="2" t="s">
        <v>281</v>
      </c>
      <c r="H1" s="2" t="s">
        <v>282</v>
      </c>
      <c r="I1" s="2" t="s">
        <v>283</v>
      </c>
      <c r="J1" s="2" t="s">
        <v>284</v>
      </c>
      <c r="K1" s="2" t="s">
        <v>82</v>
      </c>
      <c r="L1" s="2" t="s">
        <v>285</v>
      </c>
      <c r="M1" s="2" t="s">
        <v>286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>
      <c r="A2" s="4">
        <v>1</v>
      </c>
      <c r="B2" s="4">
        <v>1</v>
      </c>
      <c r="C2" s="7">
        <v>46221</v>
      </c>
      <c r="D2" s="4" t="s">
        <v>287</v>
      </c>
      <c r="E2" s="4" t="s">
        <v>288</v>
      </c>
      <c r="F2" s="4" t="s">
        <v>289</v>
      </c>
      <c r="G2" s="4" t="s">
        <v>290</v>
      </c>
      <c r="H2" s="4" t="s">
        <v>291</v>
      </c>
      <c r="I2" s="4" t="s">
        <v>292</v>
      </c>
      <c r="J2" s="4" t="s">
        <v>293</v>
      </c>
      <c r="K2" s="4" t="s">
        <v>90</v>
      </c>
      <c r="L2" s="4">
        <v>0</v>
      </c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4">
        <v>2</v>
      </c>
      <c r="B3" s="4">
        <v>1</v>
      </c>
      <c r="C3" s="7">
        <v>46222</v>
      </c>
      <c r="D3" s="4" t="s">
        <v>287</v>
      </c>
      <c r="E3" s="4" t="s">
        <v>294</v>
      </c>
      <c r="F3" s="4" t="s">
        <v>295</v>
      </c>
      <c r="G3" s="4" t="s">
        <v>296</v>
      </c>
      <c r="H3" s="4" t="s">
        <v>297</v>
      </c>
      <c r="I3" s="4" t="s">
        <v>298</v>
      </c>
      <c r="J3" s="4" t="s">
        <v>299</v>
      </c>
      <c r="K3" s="4" t="s">
        <v>90</v>
      </c>
      <c r="L3" s="4">
        <v>0</v>
      </c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>
        <v>3</v>
      </c>
      <c r="B4" s="4">
        <v>1</v>
      </c>
      <c r="C4" s="7">
        <v>46223</v>
      </c>
      <c r="D4" s="4" t="s">
        <v>287</v>
      </c>
      <c r="E4" s="4" t="s">
        <v>300</v>
      </c>
      <c r="F4" s="4" t="s">
        <v>301</v>
      </c>
      <c r="G4" s="4" t="s">
        <v>302</v>
      </c>
      <c r="H4" s="4" t="s">
        <v>303</v>
      </c>
      <c r="I4" s="4" t="s">
        <v>304</v>
      </c>
      <c r="J4" s="4" t="s">
        <v>299</v>
      </c>
      <c r="K4" s="4" t="s">
        <v>90</v>
      </c>
      <c r="L4" s="4">
        <v>0</v>
      </c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>
        <v>4</v>
      </c>
      <c r="B5" s="4">
        <v>1</v>
      </c>
      <c r="C5" s="7">
        <v>46224</v>
      </c>
      <c r="D5" s="4" t="s">
        <v>287</v>
      </c>
      <c r="E5" s="4" t="s">
        <v>305</v>
      </c>
      <c r="F5" s="4" t="s">
        <v>306</v>
      </c>
      <c r="G5" s="4" t="s">
        <v>307</v>
      </c>
      <c r="H5" s="4" t="s">
        <v>308</v>
      </c>
      <c r="I5" s="4" t="s">
        <v>309</v>
      </c>
      <c r="J5" s="4" t="s">
        <v>221</v>
      </c>
      <c r="K5" s="4" t="s">
        <v>90</v>
      </c>
      <c r="L5" s="4">
        <v>0</v>
      </c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>
        <v>5</v>
      </c>
      <c r="B6" s="4">
        <v>1</v>
      </c>
      <c r="C6" s="7">
        <v>46225</v>
      </c>
      <c r="D6" s="4" t="s">
        <v>287</v>
      </c>
      <c r="E6" s="4" t="s">
        <v>288</v>
      </c>
      <c r="F6" s="4" t="s">
        <v>289</v>
      </c>
      <c r="G6" s="4" t="s">
        <v>290</v>
      </c>
      <c r="H6" s="4" t="s">
        <v>291</v>
      </c>
      <c r="I6" s="4" t="s">
        <v>292</v>
      </c>
      <c r="J6" s="4" t="s">
        <v>293</v>
      </c>
      <c r="K6" s="4" t="s">
        <v>90</v>
      </c>
      <c r="L6" s="4">
        <v>0</v>
      </c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4">
        <v>6</v>
      </c>
      <c r="B7" s="4">
        <v>1</v>
      </c>
      <c r="C7" s="7">
        <v>46226</v>
      </c>
      <c r="D7" s="4" t="s">
        <v>287</v>
      </c>
      <c r="E7" s="4" t="s">
        <v>294</v>
      </c>
      <c r="F7" s="4" t="s">
        <v>295</v>
      </c>
      <c r="G7" s="4" t="s">
        <v>296</v>
      </c>
      <c r="H7" s="4" t="s">
        <v>297</v>
      </c>
      <c r="I7" s="4" t="s">
        <v>298</v>
      </c>
      <c r="J7" s="4" t="s">
        <v>299</v>
      </c>
      <c r="K7" s="4" t="s">
        <v>90</v>
      </c>
      <c r="L7" s="4">
        <v>0</v>
      </c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4">
        <v>7</v>
      </c>
      <c r="B8" s="4">
        <v>1</v>
      </c>
      <c r="C8" s="7">
        <v>46227</v>
      </c>
      <c r="D8" s="4" t="s">
        <v>287</v>
      </c>
      <c r="E8" s="4" t="s">
        <v>300</v>
      </c>
      <c r="F8" s="4" t="s">
        <v>301</v>
      </c>
      <c r="G8" s="4" t="s">
        <v>302</v>
      </c>
      <c r="H8" s="4" t="s">
        <v>303</v>
      </c>
      <c r="I8" s="4" t="s">
        <v>304</v>
      </c>
      <c r="J8" s="4" t="s">
        <v>299</v>
      </c>
      <c r="K8" s="4" t="s">
        <v>90</v>
      </c>
      <c r="L8" s="4">
        <v>0</v>
      </c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4">
        <v>8</v>
      </c>
      <c r="B9" s="4">
        <v>2</v>
      </c>
      <c r="C9" s="7">
        <v>46228</v>
      </c>
      <c r="D9" s="4" t="s">
        <v>287</v>
      </c>
      <c r="E9" s="4" t="s">
        <v>305</v>
      </c>
      <c r="F9" s="4" t="s">
        <v>306</v>
      </c>
      <c r="G9" s="4" t="s">
        <v>307</v>
      </c>
      <c r="H9" s="4" t="s">
        <v>308</v>
      </c>
      <c r="I9" s="4" t="s">
        <v>309</v>
      </c>
      <c r="J9" s="4" t="s">
        <v>221</v>
      </c>
      <c r="K9" s="4" t="s">
        <v>90</v>
      </c>
      <c r="L9" s="4">
        <v>0</v>
      </c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4">
        <v>9</v>
      </c>
      <c r="B10" s="4">
        <v>2</v>
      </c>
      <c r="C10" s="7">
        <v>46229</v>
      </c>
      <c r="D10" s="4" t="s">
        <v>287</v>
      </c>
      <c r="E10" s="4" t="s">
        <v>288</v>
      </c>
      <c r="F10" s="4" t="s">
        <v>289</v>
      </c>
      <c r="G10" s="4" t="s">
        <v>290</v>
      </c>
      <c r="H10" s="4" t="s">
        <v>291</v>
      </c>
      <c r="I10" s="4" t="s">
        <v>292</v>
      </c>
      <c r="J10" s="4" t="s">
        <v>293</v>
      </c>
      <c r="K10" s="4" t="s">
        <v>90</v>
      </c>
      <c r="L10" s="4">
        <v>0</v>
      </c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4">
        <v>10</v>
      </c>
      <c r="B11" s="4">
        <v>2</v>
      </c>
      <c r="C11" s="7">
        <v>46230</v>
      </c>
      <c r="D11" s="4" t="s">
        <v>287</v>
      </c>
      <c r="E11" s="4" t="s">
        <v>294</v>
      </c>
      <c r="F11" s="4" t="s">
        <v>295</v>
      </c>
      <c r="G11" s="4" t="s">
        <v>296</v>
      </c>
      <c r="H11" s="4" t="s">
        <v>297</v>
      </c>
      <c r="I11" s="4" t="s">
        <v>298</v>
      </c>
      <c r="J11" s="4" t="s">
        <v>299</v>
      </c>
      <c r="K11" s="4" t="s">
        <v>90</v>
      </c>
      <c r="L11" s="4">
        <v>0</v>
      </c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>
      <c r="A12" s="4">
        <v>11</v>
      </c>
      <c r="B12" s="4">
        <v>2</v>
      </c>
      <c r="C12" s="7">
        <v>46231</v>
      </c>
      <c r="D12" s="4" t="s">
        <v>287</v>
      </c>
      <c r="E12" s="4" t="s">
        <v>300</v>
      </c>
      <c r="F12" s="4" t="s">
        <v>301</v>
      </c>
      <c r="G12" s="4" t="s">
        <v>302</v>
      </c>
      <c r="H12" s="4" t="s">
        <v>303</v>
      </c>
      <c r="I12" s="4" t="s">
        <v>304</v>
      </c>
      <c r="J12" s="4" t="s">
        <v>299</v>
      </c>
      <c r="K12" s="4" t="s">
        <v>90</v>
      </c>
      <c r="L12" s="4">
        <v>0</v>
      </c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>
      <c r="A13" s="4">
        <v>12</v>
      </c>
      <c r="B13" s="4">
        <v>2</v>
      </c>
      <c r="C13" s="7">
        <v>46232</v>
      </c>
      <c r="D13" s="4" t="s">
        <v>287</v>
      </c>
      <c r="E13" s="4" t="s">
        <v>305</v>
      </c>
      <c r="F13" s="4" t="s">
        <v>306</v>
      </c>
      <c r="G13" s="4" t="s">
        <v>307</v>
      </c>
      <c r="H13" s="4" t="s">
        <v>308</v>
      </c>
      <c r="I13" s="4" t="s">
        <v>309</v>
      </c>
      <c r="J13" s="4" t="s">
        <v>221</v>
      </c>
      <c r="K13" s="4" t="s">
        <v>90</v>
      </c>
      <c r="L13" s="4">
        <v>0</v>
      </c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4">
        <v>13</v>
      </c>
      <c r="B14" s="4">
        <v>2</v>
      </c>
      <c r="C14" s="7">
        <v>46233</v>
      </c>
      <c r="D14" s="4" t="s">
        <v>287</v>
      </c>
      <c r="E14" s="4" t="s">
        <v>288</v>
      </c>
      <c r="F14" s="4" t="s">
        <v>289</v>
      </c>
      <c r="G14" s="4" t="s">
        <v>290</v>
      </c>
      <c r="H14" s="4" t="s">
        <v>291</v>
      </c>
      <c r="I14" s="4" t="s">
        <v>292</v>
      </c>
      <c r="J14" s="4" t="s">
        <v>293</v>
      </c>
      <c r="K14" s="4" t="s">
        <v>90</v>
      </c>
      <c r="L14" s="4">
        <v>0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6">
      <c r="A15" s="4">
        <v>14</v>
      </c>
      <c r="B15" s="4">
        <v>2</v>
      </c>
      <c r="C15" s="7">
        <v>46234</v>
      </c>
      <c r="D15" s="4" t="s">
        <v>287</v>
      </c>
      <c r="E15" s="4" t="s">
        <v>294</v>
      </c>
      <c r="F15" s="4" t="s">
        <v>295</v>
      </c>
      <c r="G15" s="4" t="s">
        <v>296</v>
      </c>
      <c r="H15" s="4" t="s">
        <v>297</v>
      </c>
      <c r="I15" s="4" t="s">
        <v>298</v>
      </c>
      <c r="J15" s="4" t="s">
        <v>299</v>
      </c>
      <c r="K15" s="4" t="s">
        <v>90</v>
      </c>
      <c r="L15" s="4">
        <v>0</v>
      </c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6">
      <c r="A16" s="4">
        <v>15</v>
      </c>
      <c r="B16" s="4">
        <v>3</v>
      </c>
      <c r="C16" s="7">
        <v>46235</v>
      </c>
      <c r="D16" s="4" t="s">
        <v>310</v>
      </c>
      <c r="E16" s="4" t="s">
        <v>311</v>
      </c>
      <c r="F16" s="4" t="s">
        <v>312</v>
      </c>
      <c r="G16" s="4" t="s">
        <v>313</v>
      </c>
      <c r="H16" s="4" t="s">
        <v>314</v>
      </c>
      <c r="I16" s="4" t="s">
        <v>315</v>
      </c>
      <c r="J16" s="4" t="s">
        <v>199</v>
      </c>
      <c r="K16" s="4" t="s">
        <v>90</v>
      </c>
      <c r="L16" s="4">
        <v>0</v>
      </c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6">
      <c r="A17" s="4">
        <v>16</v>
      </c>
      <c r="B17" s="4">
        <v>3</v>
      </c>
      <c r="C17" s="7">
        <v>46236</v>
      </c>
      <c r="D17" s="4" t="s">
        <v>310</v>
      </c>
      <c r="E17" s="4" t="s">
        <v>316</v>
      </c>
      <c r="F17" s="4" t="s">
        <v>317</v>
      </c>
      <c r="G17" s="4" t="s">
        <v>318</v>
      </c>
      <c r="H17" s="4" t="s">
        <v>319</v>
      </c>
      <c r="I17" s="4" t="s">
        <v>320</v>
      </c>
      <c r="J17" s="4" t="s">
        <v>199</v>
      </c>
      <c r="K17" s="4" t="s">
        <v>90</v>
      </c>
      <c r="L17" s="4">
        <v>0</v>
      </c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6">
      <c r="A18" s="4">
        <v>17</v>
      </c>
      <c r="B18" s="4">
        <v>3</v>
      </c>
      <c r="C18" s="7">
        <v>46237</v>
      </c>
      <c r="D18" s="4" t="s">
        <v>310</v>
      </c>
      <c r="E18" s="4" t="s">
        <v>321</v>
      </c>
      <c r="F18" s="4" t="s">
        <v>322</v>
      </c>
      <c r="G18" s="4" t="s">
        <v>323</v>
      </c>
      <c r="H18" s="4" t="s">
        <v>324</v>
      </c>
      <c r="I18" s="4" t="s">
        <v>325</v>
      </c>
      <c r="J18" s="4" t="s">
        <v>199</v>
      </c>
      <c r="K18" s="4" t="s">
        <v>90</v>
      </c>
      <c r="L18" s="4">
        <v>0</v>
      </c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6">
      <c r="A19" s="4">
        <v>18</v>
      </c>
      <c r="B19" s="4">
        <v>3</v>
      </c>
      <c r="C19" s="7">
        <v>46238</v>
      </c>
      <c r="D19" s="4" t="s">
        <v>310</v>
      </c>
      <c r="E19" s="4" t="s">
        <v>311</v>
      </c>
      <c r="F19" s="4" t="s">
        <v>312</v>
      </c>
      <c r="G19" s="4" t="s">
        <v>313</v>
      </c>
      <c r="H19" s="4" t="s">
        <v>314</v>
      </c>
      <c r="I19" s="4" t="s">
        <v>315</v>
      </c>
      <c r="J19" s="4" t="s">
        <v>199</v>
      </c>
      <c r="K19" s="4" t="s">
        <v>90</v>
      </c>
      <c r="L19" s="4">
        <v>0</v>
      </c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6">
      <c r="A20" s="4">
        <v>19</v>
      </c>
      <c r="B20" s="4">
        <v>3</v>
      </c>
      <c r="C20" s="7">
        <v>46239</v>
      </c>
      <c r="D20" s="4" t="s">
        <v>310</v>
      </c>
      <c r="E20" s="4" t="s">
        <v>316</v>
      </c>
      <c r="F20" s="4" t="s">
        <v>317</v>
      </c>
      <c r="G20" s="4" t="s">
        <v>318</v>
      </c>
      <c r="H20" s="4" t="s">
        <v>319</v>
      </c>
      <c r="I20" s="4" t="s">
        <v>320</v>
      </c>
      <c r="J20" s="4" t="s">
        <v>199</v>
      </c>
      <c r="K20" s="4" t="s">
        <v>90</v>
      </c>
      <c r="L20" s="4">
        <v>0</v>
      </c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6">
      <c r="A21" s="4">
        <v>20</v>
      </c>
      <c r="B21" s="4">
        <v>3</v>
      </c>
      <c r="C21" s="7">
        <v>46240</v>
      </c>
      <c r="D21" s="4" t="s">
        <v>310</v>
      </c>
      <c r="E21" s="4" t="s">
        <v>321</v>
      </c>
      <c r="F21" s="4" t="s">
        <v>322</v>
      </c>
      <c r="G21" s="4" t="s">
        <v>323</v>
      </c>
      <c r="H21" s="4" t="s">
        <v>324</v>
      </c>
      <c r="I21" s="4" t="s">
        <v>325</v>
      </c>
      <c r="J21" s="4" t="s">
        <v>199</v>
      </c>
      <c r="K21" s="4" t="s">
        <v>90</v>
      </c>
      <c r="L21" s="4">
        <v>0</v>
      </c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6">
      <c r="A22" s="4">
        <v>21</v>
      </c>
      <c r="B22" s="4">
        <v>3</v>
      </c>
      <c r="C22" s="7">
        <v>46241</v>
      </c>
      <c r="D22" s="4" t="s">
        <v>310</v>
      </c>
      <c r="E22" s="4" t="s">
        <v>311</v>
      </c>
      <c r="F22" s="4" t="s">
        <v>312</v>
      </c>
      <c r="G22" s="4" t="s">
        <v>313</v>
      </c>
      <c r="H22" s="4" t="s">
        <v>314</v>
      </c>
      <c r="I22" s="4" t="s">
        <v>315</v>
      </c>
      <c r="J22" s="4" t="s">
        <v>199</v>
      </c>
      <c r="K22" s="4" t="s">
        <v>90</v>
      </c>
      <c r="L22" s="4">
        <v>0</v>
      </c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6">
      <c r="A23" s="4">
        <v>22</v>
      </c>
      <c r="B23" s="4">
        <v>4</v>
      </c>
      <c r="C23" s="7">
        <v>46242</v>
      </c>
      <c r="D23" s="4" t="s">
        <v>310</v>
      </c>
      <c r="E23" s="4" t="s">
        <v>316</v>
      </c>
      <c r="F23" s="4" t="s">
        <v>317</v>
      </c>
      <c r="G23" s="4" t="s">
        <v>318</v>
      </c>
      <c r="H23" s="4" t="s">
        <v>319</v>
      </c>
      <c r="I23" s="4" t="s">
        <v>320</v>
      </c>
      <c r="J23" s="4" t="s">
        <v>199</v>
      </c>
      <c r="K23" s="4" t="s">
        <v>90</v>
      </c>
      <c r="L23" s="4">
        <v>0</v>
      </c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6">
      <c r="A24" s="4">
        <v>23</v>
      </c>
      <c r="B24" s="4">
        <v>4</v>
      </c>
      <c r="C24" s="7">
        <v>46243</v>
      </c>
      <c r="D24" s="4" t="s">
        <v>310</v>
      </c>
      <c r="E24" s="4" t="s">
        <v>321</v>
      </c>
      <c r="F24" s="4" t="s">
        <v>322</v>
      </c>
      <c r="G24" s="4" t="s">
        <v>323</v>
      </c>
      <c r="H24" s="4" t="s">
        <v>324</v>
      </c>
      <c r="I24" s="4" t="s">
        <v>325</v>
      </c>
      <c r="J24" s="4" t="s">
        <v>199</v>
      </c>
      <c r="K24" s="4" t="s">
        <v>90</v>
      </c>
      <c r="L24" s="4">
        <v>0</v>
      </c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6">
      <c r="A25" s="4">
        <v>24</v>
      </c>
      <c r="B25" s="4">
        <v>4</v>
      </c>
      <c r="C25" s="7">
        <v>46244</v>
      </c>
      <c r="D25" s="4" t="s">
        <v>310</v>
      </c>
      <c r="E25" s="4" t="s">
        <v>311</v>
      </c>
      <c r="F25" s="4" t="s">
        <v>312</v>
      </c>
      <c r="G25" s="4" t="s">
        <v>313</v>
      </c>
      <c r="H25" s="4" t="s">
        <v>314</v>
      </c>
      <c r="I25" s="4" t="s">
        <v>315</v>
      </c>
      <c r="J25" s="4" t="s">
        <v>199</v>
      </c>
      <c r="K25" s="4" t="s">
        <v>90</v>
      </c>
      <c r="L25" s="4">
        <v>0</v>
      </c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6">
      <c r="A26" s="4">
        <v>25</v>
      </c>
      <c r="B26" s="4">
        <v>4</v>
      </c>
      <c r="C26" s="7">
        <v>46245</v>
      </c>
      <c r="D26" s="4" t="s">
        <v>310</v>
      </c>
      <c r="E26" s="4" t="s">
        <v>316</v>
      </c>
      <c r="F26" s="4" t="s">
        <v>317</v>
      </c>
      <c r="G26" s="4" t="s">
        <v>318</v>
      </c>
      <c r="H26" s="4" t="s">
        <v>319</v>
      </c>
      <c r="I26" s="4" t="s">
        <v>320</v>
      </c>
      <c r="J26" s="4" t="s">
        <v>199</v>
      </c>
      <c r="K26" s="4" t="s">
        <v>90</v>
      </c>
      <c r="L26" s="4">
        <v>0</v>
      </c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6">
      <c r="A27" s="4">
        <v>26</v>
      </c>
      <c r="B27" s="4">
        <v>4</v>
      </c>
      <c r="C27" s="7">
        <v>46246</v>
      </c>
      <c r="D27" s="4" t="s">
        <v>310</v>
      </c>
      <c r="E27" s="4" t="s">
        <v>321</v>
      </c>
      <c r="F27" s="4" t="s">
        <v>322</v>
      </c>
      <c r="G27" s="4" t="s">
        <v>323</v>
      </c>
      <c r="H27" s="4" t="s">
        <v>324</v>
      </c>
      <c r="I27" s="4" t="s">
        <v>325</v>
      </c>
      <c r="J27" s="4" t="s">
        <v>199</v>
      </c>
      <c r="K27" s="4" t="s">
        <v>90</v>
      </c>
      <c r="L27" s="4">
        <v>0</v>
      </c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6">
      <c r="A28" s="4">
        <v>27</v>
      </c>
      <c r="B28" s="4">
        <v>4</v>
      </c>
      <c r="C28" s="7">
        <v>46247</v>
      </c>
      <c r="D28" s="4" t="s">
        <v>310</v>
      </c>
      <c r="E28" s="4" t="s">
        <v>311</v>
      </c>
      <c r="F28" s="4" t="s">
        <v>312</v>
      </c>
      <c r="G28" s="4" t="s">
        <v>313</v>
      </c>
      <c r="H28" s="4" t="s">
        <v>314</v>
      </c>
      <c r="I28" s="4" t="s">
        <v>315</v>
      </c>
      <c r="J28" s="4" t="s">
        <v>199</v>
      </c>
      <c r="K28" s="4" t="s">
        <v>90</v>
      </c>
      <c r="L28" s="4">
        <v>0</v>
      </c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6">
      <c r="A29" s="4">
        <v>28</v>
      </c>
      <c r="B29" s="4">
        <v>4</v>
      </c>
      <c r="C29" s="7">
        <v>46248</v>
      </c>
      <c r="D29" s="4" t="s">
        <v>310</v>
      </c>
      <c r="E29" s="4" t="s">
        <v>316</v>
      </c>
      <c r="F29" s="4" t="s">
        <v>317</v>
      </c>
      <c r="G29" s="4" t="s">
        <v>318</v>
      </c>
      <c r="H29" s="4" t="s">
        <v>319</v>
      </c>
      <c r="I29" s="4" t="s">
        <v>320</v>
      </c>
      <c r="J29" s="4" t="s">
        <v>199</v>
      </c>
      <c r="K29" s="4" t="s">
        <v>90</v>
      </c>
      <c r="L29" s="4">
        <v>0</v>
      </c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6">
      <c r="A30" s="4">
        <v>29</v>
      </c>
      <c r="B30" s="4">
        <v>5</v>
      </c>
      <c r="C30" s="7">
        <v>46249</v>
      </c>
      <c r="D30" s="4" t="s">
        <v>310</v>
      </c>
      <c r="E30" s="4" t="s">
        <v>321</v>
      </c>
      <c r="F30" s="4" t="s">
        <v>322</v>
      </c>
      <c r="G30" s="4" t="s">
        <v>323</v>
      </c>
      <c r="H30" s="4" t="s">
        <v>324</v>
      </c>
      <c r="I30" s="4" t="s">
        <v>325</v>
      </c>
      <c r="J30" s="4" t="s">
        <v>199</v>
      </c>
      <c r="K30" s="4" t="s">
        <v>90</v>
      </c>
      <c r="L30" s="4">
        <v>0</v>
      </c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6">
      <c r="A31" s="4">
        <v>30</v>
      </c>
      <c r="B31" s="4">
        <v>5</v>
      </c>
      <c r="C31" s="7">
        <v>46250</v>
      </c>
      <c r="D31" s="4" t="s">
        <v>310</v>
      </c>
      <c r="E31" s="4" t="s">
        <v>311</v>
      </c>
      <c r="F31" s="4" t="s">
        <v>312</v>
      </c>
      <c r="G31" s="4" t="s">
        <v>313</v>
      </c>
      <c r="H31" s="4" t="s">
        <v>314</v>
      </c>
      <c r="I31" s="4" t="s">
        <v>315</v>
      </c>
      <c r="J31" s="4" t="s">
        <v>199</v>
      </c>
      <c r="K31" s="4" t="s">
        <v>90</v>
      </c>
      <c r="L31" s="4">
        <v>0</v>
      </c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6">
      <c r="A32" s="4">
        <v>31</v>
      </c>
      <c r="B32" s="4">
        <v>5</v>
      </c>
      <c r="C32" s="7">
        <v>46251</v>
      </c>
      <c r="D32" s="4" t="s">
        <v>310</v>
      </c>
      <c r="E32" s="4" t="s">
        <v>316</v>
      </c>
      <c r="F32" s="4" t="s">
        <v>317</v>
      </c>
      <c r="G32" s="4" t="s">
        <v>318</v>
      </c>
      <c r="H32" s="4" t="s">
        <v>319</v>
      </c>
      <c r="I32" s="4" t="s">
        <v>320</v>
      </c>
      <c r="J32" s="4" t="s">
        <v>199</v>
      </c>
      <c r="K32" s="4" t="s">
        <v>90</v>
      </c>
      <c r="L32" s="4">
        <v>0</v>
      </c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6">
      <c r="A33" s="4">
        <v>32</v>
      </c>
      <c r="B33" s="4">
        <v>5</v>
      </c>
      <c r="C33" s="7">
        <v>46252</v>
      </c>
      <c r="D33" s="4" t="s">
        <v>310</v>
      </c>
      <c r="E33" s="4" t="s">
        <v>321</v>
      </c>
      <c r="F33" s="4" t="s">
        <v>322</v>
      </c>
      <c r="G33" s="4" t="s">
        <v>323</v>
      </c>
      <c r="H33" s="4" t="s">
        <v>324</v>
      </c>
      <c r="I33" s="4" t="s">
        <v>325</v>
      </c>
      <c r="J33" s="4" t="s">
        <v>199</v>
      </c>
      <c r="K33" s="4" t="s">
        <v>90</v>
      </c>
      <c r="L33" s="4">
        <v>0</v>
      </c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6">
      <c r="A34" s="4">
        <v>33</v>
      </c>
      <c r="B34" s="4">
        <v>5</v>
      </c>
      <c r="C34" s="7">
        <v>46253</v>
      </c>
      <c r="D34" s="4" t="s">
        <v>310</v>
      </c>
      <c r="E34" s="4" t="s">
        <v>311</v>
      </c>
      <c r="F34" s="4" t="s">
        <v>312</v>
      </c>
      <c r="G34" s="4" t="s">
        <v>313</v>
      </c>
      <c r="H34" s="4" t="s">
        <v>314</v>
      </c>
      <c r="I34" s="4" t="s">
        <v>315</v>
      </c>
      <c r="J34" s="4" t="s">
        <v>199</v>
      </c>
      <c r="K34" s="4" t="s">
        <v>90</v>
      </c>
      <c r="L34" s="4">
        <v>0</v>
      </c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6">
      <c r="A35" s="4">
        <v>34</v>
      </c>
      <c r="B35" s="4">
        <v>5</v>
      </c>
      <c r="C35" s="7">
        <v>46254</v>
      </c>
      <c r="D35" s="4" t="s">
        <v>310</v>
      </c>
      <c r="E35" s="4" t="s">
        <v>316</v>
      </c>
      <c r="F35" s="4" t="s">
        <v>317</v>
      </c>
      <c r="G35" s="4" t="s">
        <v>318</v>
      </c>
      <c r="H35" s="4" t="s">
        <v>319</v>
      </c>
      <c r="I35" s="4" t="s">
        <v>320</v>
      </c>
      <c r="J35" s="4" t="s">
        <v>199</v>
      </c>
      <c r="K35" s="4" t="s">
        <v>90</v>
      </c>
      <c r="L35" s="4">
        <v>0</v>
      </c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6">
      <c r="A36" s="4">
        <v>35</v>
      </c>
      <c r="B36" s="4">
        <v>5</v>
      </c>
      <c r="C36" s="7">
        <v>46255</v>
      </c>
      <c r="D36" s="4" t="s">
        <v>310</v>
      </c>
      <c r="E36" s="4" t="s">
        <v>321</v>
      </c>
      <c r="F36" s="4" t="s">
        <v>322</v>
      </c>
      <c r="G36" s="4" t="s">
        <v>323</v>
      </c>
      <c r="H36" s="4" t="s">
        <v>324</v>
      </c>
      <c r="I36" s="4" t="s">
        <v>325</v>
      </c>
      <c r="J36" s="4" t="s">
        <v>199</v>
      </c>
      <c r="K36" s="4" t="s">
        <v>90</v>
      </c>
      <c r="L36" s="4">
        <v>0</v>
      </c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6">
      <c r="A37" s="4">
        <v>36</v>
      </c>
      <c r="B37" s="4">
        <v>6</v>
      </c>
      <c r="C37" s="7">
        <v>46256</v>
      </c>
      <c r="D37" s="4" t="s">
        <v>326</v>
      </c>
      <c r="E37" s="4" t="s">
        <v>327</v>
      </c>
      <c r="F37" s="4" t="s">
        <v>328</v>
      </c>
      <c r="G37" s="4" t="s">
        <v>329</v>
      </c>
      <c r="H37" s="4" t="s">
        <v>330</v>
      </c>
      <c r="I37" s="4" t="s">
        <v>331</v>
      </c>
      <c r="J37" s="4" t="s">
        <v>210</v>
      </c>
      <c r="K37" s="4" t="s">
        <v>90</v>
      </c>
      <c r="L37" s="4">
        <v>0</v>
      </c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6">
      <c r="A38" s="4">
        <v>37</v>
      </c>
      <c r="B38" s="4">
        <v>6</v>
      </c>
      <c r="C38" s="7">
        <v>46257</v>
      </c>
      <c r="D38" s="4" t="s">
        <v>326</v>
      </c>
      <c r="E38" s="4" t="s">
        <v>332</v>
      </c>
      <c r="F38" s="4" t="s">
        <v>333</v>
      </c>
      <c r="G38" s="4" t="s">
        <v>334</v>
      </c>
      <c r="H38" s="4" t="s">
        <v>335</v>
      </c>
      <c r="I38" s="4" t="s">
        <v>336</v>
      </c>
      <c r="J38" s="4" t="s">
        <v>199</v>
      </c>
      <c r="K38" s="4" t="s">
        <v>90</v>
      </c>
      <c r="L38" s="4">
        <v>0</v>
      </c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6">
      <c r="A39" s="4">
        <v>38</v>
      </c>
      <c r="B39" s="4">
        <v>6</v>
      </c>
      <c r="C39" s="7">
        <v>46258</v>
      </c>
      <c r="D39" s="4" t="s">
        <v>326</v>
      </c>
      <c r="E39" s="4" t="s">
        <v>327</v>
      </c>
      <c r="F39" s="4" t="s">
        <v>328</v>
      </c>
      <c r="G39" s="4" t="s">
        <v>329</v>
      </c>
      <c r="H39" s="4" t="s">
        <v>330</v>
      </c>
      <c r="I39" s="4" t="s">
        <v>331</v>
      </c>
      <c r="J39" s="4" t="s">
        <v>210</v>
      </c>
      <c r="K39" s="4" t="s">
        <v>90</v>
      </c>
      <c r="L39" s="4">
        <v>0</v>
      </c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6">
      <c r="A40" s="4">
        <v>39</v>
      </c>
      <c r="B40" s="4">
        <v>6</v>
      </c>
      <c r="C40" s="7">
        <v>46259</v>
      </c>
      <c r="D40" s="4" t="s">
        <v>326</v>
      </c>
      <c r="E40" s="4" t="s">
        <v>332</v>
      </c>
      <c r="F40" s="4" t="s">
        <v>333</v>
      </c>
      <c r="G40" s="4" t="s">
        <v>334</v>
      </c>
      <c r="H40" s="4" t="s">
        <v>335</v>
      </c>
      <c r="I40" s="4" t="s">
        <v>336</v>
      </c>
      <c r="J40" s="4" t="s">
        <v>199</v>
      </c>
      <c r="K40" s="4" t="s">
        <v>90</v>
      </c>
      <c r="L40" s="4">
        <v>0</v>
      </c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6">
      <c r="A41" s="4">
        <v>40</v>
      </c>
      <c r="B41" s="4">
        <v>6</v>
      </c>
      <c r="C41" s="7">
        <v>46260</v>
      </c>
      <c r="D41" s="4" t="s">
        <v>326</v>
      </c>
      <c r="E41" s="4" t="s">
        <v>327</v>
      </c>
      <c r="F41" s="4" t="s">
        <v>328</v>
      </c>
      <c r="G41" s="4" t="s">
        <v>329</v>
      </c>
      <c r="H41" s="4" t="s">
        <v>330</v>
      </c>
      <c r="I41" s="4" t="s">
        <v>331</v>
      </c>
      <c r="J41" s="4" t="s">
        <v>210</v>
      </c>
      <c r="K41" s="4" t="s">
        <v>90</v>
      </c>
      <c r="L41" s="4">
        <v>0</v>
      </c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6">
      <c r="A42" s="4">
        <v>41</v>
      </c>
      <c r="B42" s="4">
        <v>6</v>
      </c>
      <c r="C42" s="7">
        <v>46261</v>
      </c>
      <c r="D42" s="4" t="s">
        <v>326</v>
      </c>
      <c r="E42" s="4" t="s">
        <v>332</v>
      </c>
      <c r="F42" s="4" t="s">
        <v>333</v>
      </c>
      <c r="G42" s="4" t="s">
        <v>334</v>
      </c>
      <c r="H42" s="4" t="s">
        <v>335</v>
      </c>
      <c r="I42" s="4" t="s">
        <v>336</v>
      </c>
      <c r="J42" s="4" t="s">
        <v>199</v>
      </c>
      <c r="K42" s="4" t="s">
        <v>90</v>
      </c>
      <c r="L42" s="4">
        <v>0</v>
      </c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6">
      <c r="A43" s="4">
        <v>42</v>
      </c>
      <c r="B43" s="4">
        <v>6</v>
      </c>
      <c r="C43" s="7">
        <v>46262</v>
      </c>
      <c r="D43" s="4" t="s">
        <v>326</v>
      </c>
      <c r="E43" s="4" t="s">
        <v>327</v>
      </c>
      <c r="F43" s="4" t="s">
        <v>328</v>
      </c>
      <c r="G43" s="4" t="s">
        <v>329</v>
      </c>
      <c r="H43" s="4" t="s">
        <v>330</v>
      </c>
      <c r="I43" s="4" t="s">
        <v>331</v>
      </c>
      <c r="J43" s="4" t="s">
        <v>210</v>
      </c>
      <c r="K43" s="4" t="s">
        <v>90</v>
      </c>
      <c r="L43" s="4">
        <v>0</v>
      </c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6">
      <c r="A44" s="4">
        <v>43</v>
      </c>
      <c r="B44" s="4">
        <v>7</v>
      </c>
      <c r="C44" s="7">
        <v>46263</v>
      </c>
      <c r="D44" s="4" t="s">
        <v>326</v>
      </c>
      <c r="E44" s="4" t="s">
        <v>332</v>
      </c>
      <c r="F44" s="4" t="s">
        <v>333</v>
      </c>
      <c r="G44" s="4" t="s">
        <v>334</v>
      </c>
      <c r="H44" s="4" t="s">
        <v>335</v>
      </c>
      <c r="I44" s="4" t="s">
        <v>336</v>
      </c>
      <c r="J44" s="4" t="s">
        <v>199</v>
      </c>
      <c r="K44" s="4" t="s">
        <v>90</v>
      </c>
      <c r="L44" s="4">
        <v>0</v>
      </c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6">
      <c r="A45" s="4">
        <v>44</v>
      </c>
      <c r="B45" s="4">
        <v>7</v>
      </c>
      <c r="C45" s="7">
        <v>46264</v>
      </c>
      <c r="D45" s="4" t="s">
        <v>326</v>
      </c>
      <c r="E45" s="4" t="s">
        <v>327</v>
      </c>
      <c r="F45" s="4" t="s">
        <v>328</v>
      </c>
      <c r="G45" s="4" t="s">
        <v>329</v>
      </c>
      <c r="H45" s="4" t="s">
        <v>330</v>
      </c>
      <c r="I45" s="4" t="s">
        <v>331</v>
      </c>
      <c r="J45" s="4" t="s">
        <v>210</v>
      </c>
      <c r="K45" s="4" t="s">
        <v>90</v>
      </c>
      <c r="L45" s="4">
        <v>0</v>
      </c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6">
      <c r="A46" s="4">
        <v>45</v>
      </c>
      <c r="B46" s="4">
        <v>7</v>
      </c>
      <c r="C46" s="7">
        <v>46265</v>
      </c>
      <c r="D46" s="4" t="s">
        <v>326</v>
      </c>
      <c r="E46" s="4" t="s">
        <v>332</v>
      </c>
      <c r="F46" s="4" t="s">
        <v>333</v>
      </c>
      <c r="G46" s="4" t="s">
        <v>334</v>
      </c>
      <c r="H46" s="4" t="s">
        <v>335</v>
      </c>
      <c r="I46" s="4" t="s">
        <v>336</v>
      </c>
      <c r="J46" s="4" t="s">
        <v>199</v>
      </c>
      <c r="K46" s="4" t="s">
        <v>90</v>
      </c>
      <c r="L46" s="4">
        <v>0</v>
      </c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6">
      <c r="A47" s="4">
        <v>46</v>
      </c>
      <c r="B47" s="4">
        <v>7</v>
      </c>
      <c r="C47" s="7">
        <v>46266</v>
      </c>
      <c r="D47" s="4" t="s">
        <v>326</v>
      </c>
      <c r="E47" s="4" t="s">
        <v>327</v>
      </c>
      <c r="F47" s="4" t="s">
        <v>328</v>
      </c>
      <c r="G47" s="4" t="s">
        <v>329</v>
      </c>
      <c r="H47" s="4" t="s">
        <v>330</v>
      </c>
      <c r="I47" s="4" t="s">
        <v>331</v>
      </c>
      <c r="J47" s="4" t="s">
        <v>210</v>
      </c>
      <c r="K47" s="4" t="s">
        <v>90</v>
      </c>
      <c r="L47" s="4">
        <v>0</v>
      </c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.6">
      <c r="A48" s="4">
        <v>47</v>
      </c>
      <c r="B48" s="4">
        <v>7</v>
      </c>
      <c r="C48" s="7">
        <v>46267</v>
      </c>
      <c r="D48" s="4" t="s">
        <v>326</v>
      </c>
      <c r="E48" s="4" t="s">
        <v>332</v>
      </c>
      <c r="F48" s="4" t="s">
        <v>333</v>
      </c>
      <c r="G48" s="4" t="s">
        <v>334</v>
      </c>
      <c r="H48" s="4" t="s">
        <v>335</v>
      </c>
      <c r="I48" s="4" t="s">
        <v>336</v>
      </c>
      <c r="J48" s="4" t="s">
        <v>199</v>
      </c>
      <c r="K48" s="4" t="s">
        <v>90</v>
      </c>
      <c r="L48" s="4">
        <v>0</v>
      </c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6">
      <c r="A49" s="4">
        <v>48</v>
      </c>
      <c r="B49" s="4">
        <v>7</v>
      </c>
      <c r="C49" s="7">
        <v>46268</v>
      </c>
      <c r="D49" s="4" t="s">
        <v>326</v>
      </c>
      <c r="E49" s="4" t="s">
        <v>327</v>
      </c>
      <c r="F49" s="4" t="s">
        <v>328</v>
      </c>
      <c r="G49" s="4" t="s">
        <v>329</v>
      </c>
      <c r="H49" s="4" t="s">
        <v>330</v>
      </c>
      <c r="I49" s="4" t="s">
        <v>331</v>
      </c>
      <c r="J49" s="4" t="s">
        <v>210</v>
      </c>
      <c r="K49" s="4" t="s">
        <v>90</v>
      </c>
      <c r="L49" s="4">
        <v>0</v>
      </c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6">
      <c r="A50" s="4">
        <v>49</v>
      </c>
      <c r="B50" s="4">
        <v>7</v>
      </c>
      <c r="C50" s="7">
        <v>46269</v>
      </c>
      <c r="D50" s="4" t="s">
        <v>326</v>
      </c>
      <c r="E50" s="4" t="s">
        <v>332</v>
      </c>
      <c r="F50" s="4" t="s">
        <v>333</v>
      </c>
      <c r="G50" s="4" t="s">
        <v>334</v>
      </c>
      <c r="H50" s="4" t="s">
        <v>335</v>
      </c>
      <c r="I50" s="4" t="s">
        <v>336</v>
      </c>
      <c r="J50" s="4" t="s">
        <v>199</v>
      </c>
      <c r="K50" s="4" t="s">
        <v>90</v>
      </c>
      <c r="L50" s="4">
        <v>0</v>
      </c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6">
      <c r="A51" s="4">
        <v>50</v>
      </c>
      <c r="B51" s="4">
        <v>8</v>
      </c>
      <c r="C51" s="7">
        <v>46270</v>
      </c>
      <c r="D51" s="4" t="s">
        <v>326</v>
      </c>
      <c r="E51" s="4" t="s">
        <v>327</v>
      </c>
      <c r="F51" s="4" t="s">
        <v>328</v>
      </c>
      <c r="G51" s="4" t="s">
        <v>329</v>
      </c>
      <c r="H51" s="4" t="s">
        <v>330</v>
      </c>
      <c r="I51" s="4" t="s">
        <v>331</v>
      </c>
      <c r="J51" s="4" t="s">
        <v>210</v>
      </c>
      <c r="K51" s="4" t="s">
        <v>90</v>
      </c>
      <c r="L51" s="4">
        <v>0</v>
      </c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6">
      <c r="A52" s="4">
        <v>51</v>
      </c>
      <c r="B52" s="4">
        <v>8</v>
      </c>
      <c r="C52" s="7">
        <v>46271</v>
      </c>
      <c r="D52" s="4" t="s">
        <v>337</v>
      </c>
      <c r="E52" s="4" t="s">
        <v>338</v>
      </c>
      <c r="F52" s="4" t="s">
        <v>339</v>
      </c>
      <c r="G52" s="4" t="s">
        <v>340</v>
      </c>
      <c r="H52" s="4" t="s">
        <v>341</v>
      </c>
      <c r="I52" s="4" t="s">
        <v>342</v>
      </c>
      <c r="J52" s="4" t="s">
        <v>210</v>
      </c>
      <c r="K52" s="4" t="s">
        <v>90</v>
      </c>
      <c r="L52" s="4">
        <v>0</v>
      </c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.6">
      <c r="A53" s="4">
        <v>52</v>
      </c>
      <c r="B53" s="4">
        <v>8</v>
      </c>
      <c r="C53" s="7">
        <v>46272</v>
      </c>
      <c r="D53" s="4" t="s">
        <v>337</v>
      </c>
      <c r="E53" s="4" t="s">
        <v>161</v>
      </c>
      <c r="F53" s="4" t="s">
        <v>343</v>
      </c>
      <c r="G53" s="4" t="s">
        <v>344</v>
      </c>
      <c r="H53" s="4" t="s">
        <v>345</v>
      </c>
      <c r="I53" s="4" t="s">
        <v>346</v>
      </c>
      <c r="J53" s="4" t="s">
        <v>210</v>
      </c>
      <c r="K53" s="4" t="s">
        <v>90</v>
      </c>
      <c r="L53" s="4">
        <v>0</v>
      </c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.6">
      <c r="A54" s="4">
        <v>53</v>
      </c>
      <c r="B54" s="4">
        <v>8</v>
      </c>
      <c r="C54" s="7">
        <v>46273</v>
      </c>
      <c r="D54" s="4" t="s">
        <v>337</v>
      </c>
      <c r="E54" s="4" t="s">
        <v>162</v>
      </c>
      <c r="F54" s="4" t="s">
        <v>347</v>
      </c>
      <c r="G54" s="4" t="s">
        <v>348</v>
      </c>
      <c r="H54" s="4" t="s">
        <v>349</v>
      </c>
      <c r="I54" s="4" t="s">
        <v>350</v>
      </c>
      <c r="J54" s="4" t="s">
        <v>210</v>
      </c>
      <c r="K54" s="4" t="s">
        <v>90</v>
      </c>
      <c r="L54" s="4">
        <v>0</v>
      </c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.6">
      <c r="A55" s="4">
        <v>54</v>
      </c>
      <c r="B55" s="4">
        <v>8</v>
      </c>
      <c r="C55" s="7">
        <v>46274</v>
      </c>
      <c r="D55" s="4" t="s">
        <v>337</v>
      </c>
      <c r="E55" s="4" t="s">
        <v>338</v>
      </c>
      <c r="F55" s="4" t="s">
        <v>339</v>
      </c>
      <c r="G55" s="4" t="s">
        <v>340</v>
      </c>
      <c r="H55" s="4" t="s">
        <v>341</v>
      </c>
      <c r="I55" s="4" t="s">
        <v>342</v>
      </c>
      <c r="J55" s="4" t="s">
        <v>210</v>
      </c>
      <c r="K55" s="4" t="s">
        <v>90</v>
      </c>
      <c r="L55" s="4">
        <v>0</v>
      </c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.6">
      <c r="A56" s="4">
        <v>55</v>
      </c>
      <c r="B56" s="4">
        <v>8</v>
      </c>
      <c r="C56" s="7">
        <v>46275</v>
      </c>
      <c r="D56" s="4" t="s">
        <v>337</v>
      </c>
      <c r="E56" s="4" t="s">
        <v>161</v>
      </c>
      <c r="F56" s="4" t="s">
        <v>343</v>
      </c>
      <c r="G56" s="4" t="s">
        <v>344</v>
      </c>
      <c r="H56" s="4" t="s">
        <v>345</v>
      </c>
      <c r="I56" s="4" t="s">
        <v>346</v>
      </c>
      <c r="J56" s="4" t="s">
        <v>210</v>
      </c>
      <c r="K56" s="4" t="s">
        <v>90</v>
      </c>
      <c r="L56" s="4">
        <v>0</v>
      </c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6">
      <c r="A57" s="4">
        <v>56</v>
      </c>
      <c r="B57" s="4">
        <v>8</v>
      </c>
      <c r="C57" s="7">
        <v>46276</v>
      </c>
      <c r="D57" s="4" t="s">
        <v>337</v>
      </c>
      <c r="E57" s="4" t="s">
        <v>162</v>
      </c>
      <c r="F57" s="4" t="s">
        <v>347</v>
      </c>
      <c r="G57" s="4" t="s">
        <v>348</v>
      </c>
      <c r="H57" s="4" t="s">
        <v>349</v>
      </c>
      <c r="I57" s="4" t="s">
        <v>350</v>
      </c>
      <c r="J57" s="4" t="s">
        <v>210</v>
      </c>
      <c r="K57" s="4" t="s">
        <v>90</v>
      </c>
      <c r="L57" s="4">
        <v>0</v>
      </c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6">
      <c r="A58" s="4">
        <v>57</v>
      </c>
      <c r="B58" s="4">
        <v>9</v>
      </c>
      <c r="C58" s="7">
        <v>46277</v>
      </c>
      <c r="D58" s="4" t="s">
        <v>337</v>
      </c>
      <c r="E58" s="4" t="s">
        <v>338</v>
      </c>
      <c r="F58" s="4" t="s">
        <v>339</v>
      </c>
      <c r="G58" s="4" t="s">
        <v>340</v>
      </c>
      <c r="H58" s="4" t="s">
        <v>341</v>
      </c>
      <c r="I58" s="4" t="s">
        <v>342</v>
      </c>
      <c r="J58" s="4" t="s">
        <v>210</v>
      </c>
      <c r="K58" s="4" t="s">
        <v>90</v>
      </c>
      <c r="L58" s="4">
        <v>0</v>
      </c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6">
      <c r="A59" s="4">
        <v>58</v>
      </c>
      <c r="B59" s="4">
        <v>9</v>
      </c>
      <c r="C59" s="7">
        <v>46278</v>
      </c>
      <c r="D59" s="4" t="s">
        <v>337</v>
      </c>
      <c r="E59" s="4" t="s">
        <v>161</v>
      </c>
      <c r="F59" s="4" t="s">
        <v>343</v>
      </c>
      <c r="G59" s="4" t="s">
        <v>344</v>
      </c>
      <c r="H59" s="4" t="s">
        <v>345</v>
      </c>
      <c r="I59" s="4" t="s">
        <v>346</v>
      </c>
      <c r="J59" s="4" t="s">
        <v>210</v>
      </c>
      <c r="K59" s="4" t="s">
        <v>90</v>
      </c>
      <c r="L59" s="4">
        <v>0</v>
      </c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6">
      <c r="A60" s="4">
        <v>59</v>
      </c>
      <c r="B60" s="4">
        <v>9</v>
      </c>
      <c r="C60" s="7">
        <v>46279</v>
      </c>
      <c r="D60" s="4" t="s">
        <v>337</v>
      </c>
      <c r="E60" s="4" t="s">
        <v>162</v>
      </c>
      <c r="F60" s="4" t="s">
        <v>347</v>
      </c>
      <c r="G60" s="4" t="s">
        <v>348</v>
      </c>
      <c r="H60" s="4" t="s">
        <v>349</v>
      </c>
      <c r="I60" s="4" t="s">
        <v>350</v>
      </c>
      <c r="J60" s="4" t="s">
        <v>210</v>
      </c>
      <c r="K60" s="4" t="s">
        <v>90</v>
      </c>
      <c r="L60" s="4">
        <v>0</v>
      </c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6">
      <c r="A61" s="4">
        <v>60</v>
      </c>
      <c r="B61" s="4">
        <v>9</v>
      </c>
      <c r="C61" s="7">
        <v>46280</v>
      </c>
      <c r="D61" s="4" t="s">
        <v>337</v>
      </c>
      <c r="E61" s="4" t="s">
        <v>338</v>
      </c>
      <c r="F61" s="4" t="s">
        <v>339</v>
      </c>
      <c r="G61" s="4" t="s">
        <v>340</v>
      </c>
      <c r="H61" s="4" t="s">
        <v>341</v>
      </c>
      <c r="I61" s="4" t="s">
        <v>342</v>
      </c>
      <c r="J61" s="4" t="s">
        <v>210</v>
      </c>
      <c r="K61" s="4" t="s">
        <v>90</v>
      </c>
      <c r="L61" s="4">
        <v>0</v>
      </c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6">
      <c r="A62" s="4">
        <v>61</v>
      </c>
      <c r="B62" s="4">
        <v>9</v>
      </c>
      <c r="C62" s="7">
        <v>46281</v>
      </c>
      <c r="D62" s="4" t="s">
        <v>337</v>
      </c>
      <c r="E62" s="4" t="s">
        <v>161</v>
      </c>
      <c r="F62" s="4" t="s">
        <v>343</v>
      </c>
      <c r="G62" s="4" t="s">
        <v>344</v>
      </c>
      <c r="H62" s="4" t="s">
        <v>345</v>
      </c>
      <c r="I62" s="4" t="s">
        <v>346</v>
      </c>
      <c r="J62" s="4" t="s">
        <v>210</v>
      </c>
      <c r="K62" s="4" t="s">
        <v>90</v>
      </c>
      <c r="L62" s="4">
        <v>0</v>
      </c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6">
      <c r="A63" s="4">
        <v>62</v>
      </c>
      <c r="B63" s="4">
        <v>9</v>
      </c>
      <c r="C63" s="7">
        <v>46282</v>
      </c>
      <c r="D63" s="4" t="s">
        <v>337</v>
      </c>
      <c r="E63" s="4" t="s">
        <v>162</v>
      </c>
      <c r="F63" s="4" t="s">
        <v>347</v>
      </c>
      <c r="G63" s="4" t="s">
        <v>348</v>
      </c>
      <c r="H63" s="4" t="s">
        <v>349</v>
      </c>
      <c r="I63" s="4" t="s">
        <v>350</v>
      </c>
      <c r="J63" s="4" t="s">
        <v>210</v>
      </c>
      <c r="K63" s="4" t="s">
        <v>90</v>
      </c>
      <c r="L63" s="4">
        <v>0</v>
      </c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6">
      <c r="A64" s="4">
        <v>63</v>
      </c>
      <c r="B64" s="4">
        <v>9</v>
      </c>
      <c r="C64" s="7">
        <v>46283</v>
      </c>
      <c r="D64" s="4" t="s">
        <v>337</v>
      </c>
      <c r="E64" s="4" t="s">
        <v>338</v>
      </c>
      <c r="F64" s="4" t="s">
        <v>339</v>
      </c>
      <c r="G64" s="4" t="s">
        <v>340</v>
      </c>
      <c r="H64" s="4" t="s">
        <v>341</v>
      </c>
      <c r="I64" s="4" t="s">
        <v>342</v>
      </c>
      <c r="J64" s="4" t="s">
        <v>210</v>
      </c>
      <c r="K64" s="4" t="s">
        <v>90</v>
      </c>
      <c r="L64" s="4">
        <v>0</v>
      </c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6">
      <c r="A65" s="4">
        <v>64</v>
      </c>
      <c r="B65" s="4">
        <v>10</v>
      </c>
      <c r="C65" s="7">
        <v>46284</v>
      </c>
      <c r="D65" s="4" t="s">
        <v>337</v>
      </c>
      <c r="E65" s="4" t="s">
        <v>161</v>
      </c>
      <c r="F65" s="4" t="s">
        <v>343</v>
      </c>
      <c r="G65" s="4" t="s">
        <v>344</v>
      </c>
      <c r="H65" s="4" t="s">
        <v>345</v>
      </c>
      <c r="I65" s="4" t="s">
        <v>346</v>
      </c>
      <c r="J65" s="4" t="s">
        <v>210</v>
      </c>
      <c r="K65" s="4" t="s">
        <v>90</v>
      </c>
      <c r="L65" s="4">
        <v>0</v>
      </c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6">
      <c r="A66" s="4">
        <v>65</v>
      </c>
      <c r="B66" s="4">
        <v>10</v>
      </c>
      <c r="C66" s="7">
        <v>46285</v>
      </c>
      <c r="D66" s="4" t="s">
        <v>337</v>
      </c>
      <c r="E66" s="4" t="s">
        <v>162</v>
      </c>
      <c r="F66" s="4" t="s">
        <v>347</v>
      </c>
      <c r="G66" s="4" t="s">
        <v>348</v>
      </c>
      <c r="H66" s="4" t="s">
        <v>349</v>
      </c>
      <c r="I66" s="4" t="s">
        <v>350</v>
      </c>
      <c r="J66" s="4" t="s">
        <v>210</v>
      </c>
      <c r="K66" s="4" t="s">
        <v>90</v>
      </c>
      <c r="L66" s="4">
        <v>0</v>
      </c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6">
      <c r="A67" s="4">
        <v>66</v>
      </c>
      <c r="B67" s="4">
        <v>10</v>
      </c>
      <c r="C67" s="7">
        <v>46286</v>
      </c>
      <c r="D67" s="4" t="s">
        <v>351</v>
      </c>
      <c r="E67" s="4" t="s">
        <v>352</v>
      </c>
      <c r="F67" s="4" t="s">
        <v>353</v>
      </c>
      <c r="G67" s="4" t="s">
        <v>354</v>
      </c>
      <c r="H67" s="4" t="s">
        <v>355</v>
      </c>
      <c r="I67" s="4" t="s">
        <v>356</v>
      </c>
      <c r="J67" s="4" t="s">
        <v>221</v>
      </c>
      <c r="K67" s="4" t="s">
        <v>90</v>
      </c>
      <c r="L67" s="4">
        <v>0</v>
      </c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6">
      <c r="A68" s="4">
        <v>67</v>
      </c>
      <c r="B68" s="4">
        <v>10</v>
      </c>
      <c r="C68" s="7">
        <v>46287</v>
      </c>
      <c r="D68" s="4" t="s">
        <v>351</v>
      </c>
      <c r="E68" s="4" t="s">
        <v>357</v>
      </c>
      <c r="F68" s="4" t="s">
        <v>358</v>
      </c>
      <c r="G68" s="4" t="s">
        <v>359</v>
      </c>
      <c r="H68" s="4" t="s">
        <v>360</v>
      </c>
      <c r="I68" s="4" t="s">
        <v>361</v>
      </c>
      <c r="J68" s="4" t="s">
        <v>221</v>
      </c>
      <c r="K68" s="4" t="s">
        <v>90</v>
      </c>
      <c r="L68" s="4">
        <v>0</v>
      </c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6">
      <c r="A69" s="4">
        <v>68</v>
      </c>
      <c r="B69" s="4">
        <v>10</v>
      </c>
      <c r="C69" s="7">
        <v>46288</v>
      </c>
      <c r="D69" s="4" t="s">
        <v>351</v>
      </c>
      <c r="E69" s="4" t="s">
        <v>362</v>
      </c>
      <c r="F69" s="4" t="s">
        <v>363</v>
      </c>
      <c r="G69" s="4" t="s">
        <v>364</v>
      </c>
      <c r="H69" s="4" t="s">
        <v>365</v>
      </c>
      <c r="I69" s="4" t="s">
        <v>366</v>
      </c>
      <c r="J69" s="4" t="s">
        <v>221</v>
      </c>
      <c r="K69" s="4" t="s">
        <v>90</v>
      </c>
      <c r="L69" s="4">
        <v>0</v>
      </c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6">
      <c r="A70" s="4">
        <v>69</v>
      </c>
      <c r="B70" s="4">
        <v>10</v>
      </c>
      <c r="C70" s="7">
        <v>46289</v>
      </c>
      <c r="D70" s="4" t="s">
        <v>351</v>
      </c>
      <c r="E70" s="4" t="s">
        <v>352</v>
      </c>
      <c r="F70" s="4" t="s">
        <v>353</v>
      </c>
      <c r="G70" s="4" t="s">
        <v>354</v>
      </c>
      <c r="H70" s="4" t="s">
        <v>355</v>
      </c>
      <c r="I70" s="4" t="s">
        <v>356</v>
      </c>
      <c r="J70" s="4" t="s">
        <v>221</v>
      </c>
      <c r="K70" s="4" t="s">
        <v>90</v>
      </c>
      <c r="L70" s="4">
        <v>0</v>
      </c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6">
      <c r="A71" s="4">
        <v>70</v>
      </c>
      <c r="B71" s="4">
        <v>10</v>
      </c>
      <c r="C71" s="7">
        <v>46290</v>
      </c>
      <c r="D71" s="4" t="s">
        <v>351</v>
      </c>
      <c r="E71" s="4" t="s">
        <v>357</v>
      </c>
      <c r="F71" s="4" t="s">
        <v>358</v>
      </c>
      <c r="G71" s="4" t="s">
        <v>359</v>
      </c>
      <c r="H71" s="4" t="s">
        <v>360</v>
      </c>
      <c r="I71" s="4" t="s">
        <v>361</v>
      </c>
      <c r="J71" s="4" t="s">
        <v>221</v>
      </c>
      <c r="K71" s="4" t="s">
        <v>90</v>
      </c>
      <c r="L71" s="4">
        <v>0</v>
      </c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6">
      <c r="A72" s="4">
        <v>71</v>
      </c>
      <c r="B72" s="4">
        <v>11</v>
      </c>
      <c r="C72" s="7">
        <v>46291</v>
      </c>
      <c r="D72" s="4" t="s">
        <v>351</v>
      </c>
      <c r="E72" s="4" t="s">
        <v>362</v>
      </c>
      <c r="F72" s="4" t="s">
        <v>363</v>
      </c>
      <c r="G72" s="4" t="s">
        <v>364</v>
      </c>
      <c r="H72" s="4" t="s">
        <v>365</v>
      </c>
      <c r="I72" s="4" t="s">
        <v>366</v>
      </c>
      <c r="J72" s="4" t="s">
        <v>221</v>
      </c>
      <c r="K72" s="4" t="s">
        <v>90</v>
      </c>
      <c r="L72" s="4">
        <v>0</v>
      </c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6">
      <c r="A73" s="4">
        <v>72</v>
      </c>
      <c r="B73" s="4">
        <v>11</v>
      </c>
      <c r="C73" s="7">
        <v>46292</v>
      </c>
      <c r="D73" s="4" t="s">
        <v>351</v>
      </c>
      <c r="E73" s="4" t="s">
        <v>352</v>
      </c>
      <c r="F73" s="4" t="s">
        <v>353</v>
      </c>
      <c r="G73" s="4" t="s">
        <v>354</v>
      </c>
      <c r="H73" s="4" t="s">
        <v>355</v>
      </c>
      <c r="I73" s="4" t="s">
        <v>356</v>
      </c>
      <c r="J73" s="4" t="s">
        <v>221</v>
      </c>
      <c r="K73" s="4" t="s">
        <v>90</v>
      </c>
      <c r="L73" s="4">
        <v>0</v>
      </c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6">
      <c r="A74" s="4">
        <v>73</v>
      </c>
      <c r="B74" s="4">
        <v>11</v>
      </c>
      <c r="C74" s="7">
        <v>46293</v>
      </c>
      <c r="D74" s="4" t="s">
        <v>351</v>
      </c>
      <c r="E74" s="4" t="s">
        <v>357</v>
      </c>
      <c r="F74" s="4" t="s">
        <v>358</v>
      </c>
      <c r="G74" s="4" t="s">
        <v>359</v>
      </c>
      <c r="H74" s="4" t="s">
        <v>360</v>
      </c>
      <c r="I74" s="4" t="s">
        <v>361</v>
      </c>
      <c r="J74" s="4" t="s">
        <v>221</v>
      </c>
      <c r="K74" s="4" t="s">
        <v>90</v>
      </c>
      <c r="L74" s="4">
        <v>0</v>
      </c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6">
      <c r="A75" s="4">
        <v>74</v>
      </c>
      <c r="B75" s="4">
        <v>11</v>
      </c>
      <c r="C75" s="7">
        <v>46294</v>
      </c>
      <c r="D75" s="4" t="s">
        <v>351</v>
      </c>
      <c r="E75" s="4" t="s">
        <v>362</v>
      </c>
      <c r="F75" s="4" t="s">
        <v>363</v>
      </c>
      <c r="G75" s="4" t="s">
        <v>364</v>
      </c>
      <c r="H75" s="4" t="s">
        <v>365</v>
      </c>
      <c r="I75" s="4" t="s">
        <v>366</v>
      </c>
      <c r="J75" s="4" t="s">
        <v>221</v>
      </c>
      <c r="K75" s="4" t="s">
        <v>90</v>
      </c>
      <c r="L75" s="4">
        <v>0</v>
      </c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6">
      <c r="A76" s="4">
        <v>75</v>
      </c>
      <c r="B76" s="4">
        <v>11</v>
      </c>
      <c r="C76" s="7">
        <v>46295</v>
      </c>
      <c r="D76" s="4" t="s">
        <v>351</v>
      </c>
      <c r="E76" s="4" t="s">
        <v>352</v>
      </c>
      <c r="F76" s="4" t="s">
        <v>353</v>
      </c>
      <c r="G76" s="4" t="s">
        <v>354</v>
      </c>
      <c r="H76" s="4" t="s">
        <v>355</v>
      </c>
      <c r="I76" s="4" t="s">
        <v>356</v>
      </c>
      <c r="J76" s="4" t="s">
        <v>221</v>
      </c>
      <c r="K76" s="4" t="s">
        <v>90</v>
      </c>
      <c r="L76" s="4">
        <v>0</v>
      </c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6">
      <c r="A77" s="4">
        <v>76</v>
      </c>
      <c r="B77" s="4">
        <v>11</v>
      </c>
      <c r="C77" s="7">
        <v>46296</v>
      </c>
      <c r="D77" s="4" t="s">
        <v>351</v>
      </c>
      <c r="E77" s="4" t="s">
        <v>357</v>
      </c>
      <c r="F77" s="4" t="s">
        <v>358</v>
      </c>
      <c r="G77" s="4" t="s">
        <v>359</v>
      </c>
      <c r="H77" s="4" t="s">
        <v>360</v>
      </c>
      <c r="I77" s="4" t="s">
        <v>361</v>
      </c>
      <c r="J77" s="4" t="s">
        <v>221</v>
      </c>
      <c r="K77" s="4" t="s">
        <v>90</v>
      </c>
      <c r="L77" s="4">
        <v>0</v>
      </c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6">
      <c r="A78" s="4">
        <v>77</v>
      </c>
      <c r="B78" s="4">
        <v>11</v>
      </c>
      <c r="C78" s="7">
        <v>46297</v>
      </c>
      <c r="D78" s="4" t="s">
        <v>351</v>
      </c>
      <c r="E78" s="4" t="s">
        <v>362</v>
      </c>
      <c r="F78" s="4" t="s">
        <v>363</v>
      </c>
      <c r="G78" s="4" t="s">
        <v>364</v>
      </c>
      <c r="H78" s="4" t="s">
        <v>365</v>
      </c>
      <c r="I78" s="4" t="s">
        <v>366</v>
      </c>
      <c r="J78" s="4" t="s">
        <v>221</v>
      </c>
      <c r="K78" s="4" t="s">
        <v>90</v>
      </c>
      <c r="L78" s="4">
        <v>0</v>
      </c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6">
      <c r="A79" s="4">
        <v>78</v>
      </c>
      <c r="B79" s="4">
        <v>12</v>
      </c>
      <c r="C79" s="7">
        <v>46298</v>
      </c>
      <c r="D79" s="4" t="s">
        <v>351</v>
      </c>
      <c r="E79" s="4" t="s">
        <v>352</v>
      </c>
      <c r="F79" s="4" t="s">
        <v>353</v>
      </c>
      <c r="G79" s="4" t="s">
        <v>354</v>
      </c>
      <c r="H79" s="4" t="s">
        <v>355</v>
      </c>
      <c r="I79" s="4" t="s">
        <v>356</v>
      </c>
      <c r="J79" s="4" t="s">
        <v>221</v>
      </c>
      <c r="K79" s="4" t="s">
        <v>90</v>
      </c>
      <c r="L79" s="4">
        <v>0</v>
      </c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6">
      <c r="A80" s="4">
        <v>79</v>
      </c>
      <c r="B80" s="4">
        <v>12</v>
      </c>
      <c r="C80" s="7">
        <v>46299</v>
      </c>
      <c r="D80" s="4" t="s">
        <v>367</v>
      </c>
      <c r="E80" s="4" t="s">
        <v>48</v>
      </c>
      <c r="F80" s="4" t="s">
        <v>368</v>
      </c>
      <c r="G80" s="4" t="s">
        <v>369</v>
      </c>
      <c r="H80" s="4" t="s">
        <v>370</v>
      </c>
      <c r="I80" s="4" t="s">
        <v>371</v>
      </c>
      <c r="J80" s="4" t="s">
        <v>372</v>
      </c>
      <c r="K80" s="4" t="s">
        <v>90</v>
      </c>
      <c r="L80" s="4">
        <v>0</v>
      </c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6">
      <c r="A81" s="4">
        <v>80</v>
      </c>
      <c r="B81" s="4">
        <v>12</v>
      </c>
      <c r="C81" s="7">
        <v>46300</v>
      </c>
      <c r="D81" s="4" t="s">
        <v>367</v>
      </c>
      <c r="E81" s="4" t="s">
        <v>373</v>
      </c>
      <c r="F81" s="4" t="s">
        <v>374</v>
      </c>
      <c r="G81" s="4" t="s">
        <v>375</v>
      </c>
      <c r="H81" s="4" t="s">
        <v>376</v>
      </c>
      <c r="I81" s="4" t="s">
        <v>377</v>
      </c>
      <c r="J81" s="4" t="s">
        <v>378</v>
      </c>
      <c r="K81" s="4" t="s">
        <v>90</v>
      </c>
      <c r="L81" s="4">
        <v>0</v>
      </c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6">
      <c r="A82" s="4">
        <v>81</v>
      </c>
      <c r="B82" s="4">
        <v>12</v>
      </c>
      <c r="C82" s="7">
        <v>46301</v>
      </c>
      <c r="D82" s="4" t="s">
        <v>367</v>
      </c>
      <c r="E82" s="4" t="s">
        <v>379</v>
      </c>
      <c r="F82" s="4" t="s">
        <v>380</v>
      </c>
      <c r="G82" s="4" t="s">
        <v>381</v>
      </c>
      <c r="H82" s="4" t="s">
        <v>382</v>
      </c>
      <c r="I82" s="4" t="s">
        <v>383</v>
      </c>
      <c r="J82" s="4" t="s">
        <v>372</v>
      </c>
      <c r="K82" s="4" t="s">
        <v>90</v>
      </c>
      <c r="L82" s="4">
        <v>0</v>
      </c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6">
      <c r="A83" s="4">
        <v>82</v>
      </c>
      <c r="B83" s="4">
        <v>12</v>
      </c>
      <c r="C83" s="7">
        <v>46302</v>
      </c>
      <c r="D83" s="4" t="s">
        <v>367</v>
      </c>
      <c r="E83" s="4" t="s">
        <v>48</v>
      </c>
      <c r="F83" s="4" t="s">
        <v>368</v>
      </c>
      <c r="G83" s="4" t="s">
        <v>369</v>
      </c>
      <c r="H83" s="4" t="s">
        <v>370</v>
      </c>
      <c r="I83" s="4" t="s">
        <v>371</v>
      </c>
      <c r="J83" s="4" t="s">
        <v>372</v>
      </c>
      <c r="K83" s="4" t="s">
        <v>90</v>
      </c>
      <c r="L83" s="4">
        <v>0</v>
      </c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6">
      <c r="A84" s="4">
        <v>83</v>
      </c>
      <c r="B84" s="4">
        <v>12</v>
      </c>
      <c r="C84" s="7">
        <v>46303</v>
      </c>
      <c r="D84" s="4" t="s">
        <v>367</v>
      </c>
      <c r="E84" s="4" t="s">
        <v>373</v>
      </c>
      <c r="F84" s="4" t="s">
        <v>374</v>
      </c>
      <c r="G84" s="4" t="s">
        <v>375</v>
      </c>
      <c r="H84" s="4" t="s">
        <v>376</v>
      </c>
      <c r="I84" s="4" t="s">
        <v>377</v>
      </c>
      <c r="J84" s="4" t="s">
        <v>378</v>
      </c>
      <c r="K84" s="4" t="s">
        <v>90</v>
      </c>
      <c r="L84" s="4">
        <v>0</v>
      </c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6">
      <c r="A85" s="4">
        <v>84</v>
      </c>
      <c r="B85" s="4">
        <v>12</v>
      </c>
      <c r="C85" s="7">
        <v>46304</v>
      </c>
      <c r="D85" s="4" t="s">
        <v>367</v>
      </c>
      <c r="E85" s="4" t="s">
        <v>379</v>
      </c>
      <c r="F85" s="4" t="s">
        <v>380</v>
      </c>
      <c r="G85" s="4" t="s">
        <v>381</v>
      </c>
      <c r="H85" s="4" t="s">
        <v>382</v>
      </c>
      <c r="I85" s="4" t="s">
        <v>383</v>
      </c>
      <c r="J85" s="4" t="s">
        <v>372</v>
      </c>
      <c r="K85" s="4" t="s">
        <v>90</v>
      </c>
      <c r="L85" s="4">
        <v>0</v>
      </c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6">
      <c r="A86" s="4">
        <v>85</v>
      </c>
      <c r="B86" s="4">
        <v>13</v>
      </c>
      <c r="C86" s="7">
        <v>46305</v>
      </c>
      <c r="D86" s="4" t="s">
        <v>367</v>
      </c>
      <c r="E86" s="4" t="s">
        <v>48</v>
      </c>
      <c r="F86" s="4" t="s">
        <v>368</v>
      </c>
      <c r="G86" s="4" t="s">
        <v>369</v>
      </c>
      <c r="H86" s="4" t="s">
        <v>370</v>
      </c>
      <c r="I86" s="4" t="s">
        <v>371</v>
      </c>
      <c r="J86" s="4" t="s">
        <v>372</v>
      </c>
      <c r="K86" s="4" t="s">
        <v>90</v>
      </c>
      <c r="L86" s="4">
        <v>0</v>
      </c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6">
      <c r="A87" s="4">
        <v>86</v>
      </c>
      <c r="B87" s="4">
        <v>13</v>
      </c>
      <c r="C87" s="7">
        <v>46306</v>
      </c>
      <c r="D87" s="4" t="s">
        <v>367</v>
      </c>
      <c r="E87" s="4" t="s">
        <v>373</v>
      </c>
      <c r="F87" s="4" t="s">
        <v>374</v>
      </c>
      <c r="G87" s="4" t="s">
        <v>375</v>
      </c>
      <c r="H87" s="4" t="s">
        <v>376</v>
      </c>
      <c r="I87" s="4" t="s">
        <v>377</v>
      </c>
      <c r="J87" s="4" t="s">
        <v>378</v>
      </c>
      <c r="K87" s="4" t="s">
        <v>90</v>
      </c>
      <c r="L87" s="4">
        <v>0</v>
      </c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6">
      <c r="A88" s="4">
        <v>87</v>
      </c>
      <c r="B88" s="4">
        <v>13</v>
      </c>
      <c r="C88" s="7">
        <v>46307</v>
      </c>
      <c r="D88" s="4" t="s">
        <v>367</v>
      </c>
      <c r="E88" s="4" t="s">
        <v>379</v>
      </c>
      <c r="F88" s="4" t="s">
        <v>380</v>
      </c>
      <c r="G88" s="4" t="s">
        <v>381</v>
      </c>
      <c r="H88" s="4" t="s">
        <v>382</v>
      </c>
      <c r="I88" s="4" t="s">
        <v>383</v>
      </c>
      <c r="J88" s="4" t="s">
        <v>372</v>
      </c>
      <c r="K88" s="4" t="s">
        <v>90</v>
      </c>
      <c r="L88" s="4">
        <v>0</v>
      </c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6">
      <c r="A89" s="4">
        <v>88</v>
      </c>
      <c r="B89" s="4">
        <v>13</v>
      </c>
      <c r="C89" s="7">
        <v>46308</v>
      </c>
      <c r="D89" s="4" t="s">
        <v>367</v>
      </c>
      <c r="E89" s="4" t="s">
        <v>48</v>
      </c>
      <c r="F89" s="4" t="s">
        <v>368</v>
      </c>
      <c r="G89" s="4" t="s">
        <v>369</v>
      </c>
      <c r="H89" s="4" t="s">
        <v>370</v>
      </c>
      <c r="I89" s="4" t="s">
        <v>371</v>
      </c>
      <c r="J89" s="4" t="s">
        <v>372</v>
      </c>
      <c r="K89" s="4" t="s">
        <v>90</v>
      </c>
      <c r="L89" s="4">
        <v>0</v>
      </c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6">
      <c r="A90" s="4">
        <v>89</v>
      </c>
      <c r="B90" s="4">
        <v>13</v>
      </c>
      <c r="C90" s="7">
        <v>46309</v>
      </c>
      <c r="D90" s="4" t="s">
        <v>367</v>
      </c>
      <c r="E90" s="4" t="s">
        <v>373</v>
      </c>
      <c r="F90" s="4" t="s">
        <v>374</v>
      </c>
      <c r="G90" s="4" t="s">
        <v>375</v>
      </c>
      <c r="H90" s="4" t="s">
        <v>376</v>
      </c>
      <c r="I90" s="4" t="s">
        <v>377</v>
      </c>
      <c r="J90" s="4" t="s">
        <v>378</v>
      </c>
      <c r="K90" s="4" t="s">
        <v>90</v>
      </c>
      <c r="L90" s="4">
        <v>0</v>
      </c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.6">
      <c r="A91" s="4">
        <v>90</v>
      </c>
      <c r="B91" s="4">
        <v>13</v>
      </c>
      <c r="C91" s="7">
        <v>46310</v>
      </c>
      <c r="D91" s="4" t="s">
        <v>367</v>
      </c>
      <c r="E91" s="4" t="s">
        <v>379</v>
      </c>
      <c r="F91" s="4" t="s">
        <v>380</v>
      </c>
      <c r="G91" s="4" t="s">
        <v>381</v>
      </c>
      <c r="H91" s="4" t="s">
        <v>382</v>
      </c>
      <c r="I91" s="4" t="s">
        <v>383</v>
      </c>
      <c r="J91" s="4" t="s">
        <v>372</v>
      </c>
      <c r="K91" s="4" t="s">
        <v>90</v>
      </c>
      <c r="L91" s="4">
        <v>0</v>
      </c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conditionalFormatting sqref="K2:K91">
    <cfRule type="expression" dxfId="3" priority="1">
      <formula>K2="Completed"</formula>
    </cfRule>
    <cfRule type="expression" dxfId="2" priority="2">
      <formula>K2="Blocked"</formula>
    </cfRule>
  </conditionalFormatting>
  <dataValidations count="1">
    <dataValidation type="decimal" sqref="L2:L91" xr:uid="{00000000-0002-0000-0300-000001000000}">
      <formula1>0</formula1>
      <formula2>2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Lists!$A$2:$A$6</xm:f>
          </x14:formula1>
          <xm:sqref>K2:K91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0"/>
  <sheetViews>
    <sheetView workbookViewId="0"/>
  </sheetViews>
  <sheetFormatPr defaultRowHeight="13.8"/>
  <cols>
    <col min="1" max="1" width="24" customWidth="1"/>
    <col min="2" max="2" width="18" customWidth="1"/>
    <col min="3" max="3" width="12" customWidth="1"/>
    <col min="4" max="4" width="26" customWidth="1"/>
    <col min="5" max="5" width="42" customWidth="1"/>
    <col min="6" max="6" width="38" customWidth="1"/>
    <col min="7" max="7" width="42" customWidth="1"/>
    <col min="8" max="12" width="34" customWidth="1"/>
    <col min="13" max="13" width="36" customWidth="1"/>
    <col min="14" max="14" width="14" customWidth="1"/>
    <col min="15" max="15" width="12" customWidth="1"/>
  </cols>
  <sheetData>
    <row r="1" spans="1:26" ht="27.6">
      <c r="A1" s="2" t="s">
        <v>384</v>
      </c>
      <c r="B1" s="2" t="s">
        <v>385</v>
      </c>
      <c r="C1" s="2" t="s">
        <v>386</v>
      </c>
      <c r="D1" s="2" t="s">
        <v>387</v>
      </c>
      <c r="E1" s="2" t="s">
        <v>388</v>
      </c>
      <c r="F1" s="2" t="s">
        <v>389</v>
      </c>
      <c r="G1" s="2" t="s">
        <v>390</v>
      </c>
      <c r="H1" s="2" t="s">
        <v>391</v>
      </c>
      <c r="I1" s="2" t="s">
        <v>392</v>
      </c>
      <c r="J1" s="2" t="s">
        <v>393</v>
      </c>
      <c r="K1" s="2" t="s">
        <v>394</v>
      </c>
      <c r="L1" s="2" t="s">
        <v>395</v>
      </c>
      <c r="M1" s="2" t="s">
        <v>396</v>
      </c>
      <c r="N1" s="2" t="s">
        <v>82</v>
      </c>
      <c r="O1" s="2" t="s">
        <v>397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4" t="s">
        <v>398</v>
      </c>
      <c r="B2" s="4" t="s">
        <v>226</v>
      </c>
      <c r="C2" s="4">
        <v>45</v>
      </c>
      <c r="D2" s="4" t="s">
        <v>399</v>
      </c>
      <c r="E2" s="4" t="s">
        <v>400</v>
      </c>
      <c r="F2" s="4" t="s">
        <v>401</v>
      </c>
      <c r="G2" s="4" t="s">
        <v>402</v>
      </c>
      <c r="H2" s="4" t="s">
        <v>403</v>
      </c>
      <c r="I2" s="4" t="s">
        <v>404</v>
      </c>
      <c r="J2" s="4" t="s">
        <v>405</v>
      </c>
      <c r="K2" s="4" t="s">
        <v>406</v>
      </c>
      <c r="L2" s="4" t="s">
        <v>407</v>
      </c>
      <c r="M2" s="4" t="s">
        <v>408</v>
      </c>
      <c r="N2" s="4" t="s">
        <v>90</v>
      </c>
      <c r="O2" s="4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1.4">
      <c r="A3" s="4" t="s">
        <v>161</v>
      </c>
      <c r="B3" s="4" t="s">
        <v>227</v>
      </c>
      <c r="C3" s="4">
        <v>25</v>
      </c>
      <c r="D3" s="4" t="s">
        <v>409</v>
      </c>
      <c r="E3" s="4" t="s">
        <v>410</v>
      </c>
      <c r="F3" s="4" t="s">
        <v>411</v>
      </c>
      <c r="G3" s="4" t="s">
        <v>412</v>
      </c>
      <c r="H3" s="4" t="s">
        <v>413</v>
      </c>
      <c r="I3" s="4" t="s">
        <v>414</v>
      </c>
      <c r="J3" s="4" t="s">
        <v>415</v>
      </c>
      <c r="K3" s="4" t="s">
        <v>416</v>
      </c>
      <c r="L3" s="4" t="s">
        <v>417</v>
      </c>
      <c r="M3" s="4" t="s">
        <v>418</v>
      </c>
      <c r="N3" s="4" t="s">
        <v>90</v>
      </c>
      <c r="O3" s="4">
        <v>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>
      <c r="A4" s="4" t="s">
        <v>162</v>
      </c>
      <c r="B4" s="4" t="s">
        <v>419</v>
      </c>
      <c r="C4" s="4">
        <v>18</v>
      </c>
      <c r="D4" s="4" t="s">
        <v>420</v>
      </c>
      <c r="E4" s="4" t="s">
        <v>421</v>
      </c>
      <c r="F4" s="4" t="s">
        <v>422</v>
      </c>
      <c r="G4" s="4" t="s">
        <v>423</v>
      </c>
      <c r="H4" s="4" t="s">
        <v>424</v>
      </c>
      <c r="I4" s="4" t="s">
        <v>425</v>
      </c>
      <c r="J4" s="4" t="s">
        <v>426</v>
      </c>
      <c r="K4" s="4" t="s">
        <v>427</v>
      </c>
      <c r="L4" s="4" t="s">
        <v>428</v>
      </c>
      <c r="M4" s="4" t="s">
        <v>429</v>
      </c>
      <c r="N4" s="4" t="s">
        <v>90</v>
      </c>
      <c r="O4" s="4">
        <v>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1.4">
      <c r="A5" s="4" t="s">
        <v>163</v>
      </c>
      <c r="B5" s="4" t="s">
        <v>430</v>
      </c>
      <c r="C5" s="4">
        <v>12</v>
      </c>
      <c r="D5" s="4" t="s">
        <v>431</v>
      </c>
      <c r="E5" s="4" t="s">
        <v>432</v>
      </c>
      <c r="F5" s="4" t="s">
        <v>433</v>
      </c>
      <c r="G5" s="4" t="s">
        <v>434</v>
      </c>
      <c r="H5" s="4" t="s">
        <v>435</v>
      </c>
      <c r="I5" s="4" t="s">
        <v>436</v>
      </c>
      <c r="J5" s="4" t="s">
        <v>437</v>
      </c>
      <c r="K5" s="4" t="s">
        <v>438</v>
      </c>
      <c r="L5" s="4" t="s">
        <v>439</v>
      </c>
      <c r="M5" s="4" t="s">
        <v>440</v>
      </c>
      <c r="N5" s="4" t="s">
        <v>90</v>
      </c>
      <c r="O5" s="4">
        <v>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conditionalFormatting sqref="O2:O5">
    <cfRule type="colorScale" priority="1">
      <colorScale>
        <cfvo type="min"/>
        <cfvo type="percentile" val="50"/>
        <cfvo type="max"/>
        <color rgb="FFF4CCCC"/>
        <color rgb="FFFFF2CC"/>
        <color rgb="FFE2F0D9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Lists!$A$2:$A$6</xm:f>
          </x14:formula1>
          <xm:sqref>N2:N5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50"/>
  <sheetViews>
    <sheetView workbookViewId="0"/>
  </sheetViews>
  <sheetFormatPr defaultRowHeight="13.8"/>
  <cols>
    <col min="1" max="1" width="10" customWidth="1"/>
    <col min="2" max="2" width="22" customWidth="1"/>
    <col min="3" max="3" width="32" customWidth="1"/>
    <col min="4" max="4" width="12" customWidth="1"/>
    <col min="5" max="5" width="14" customWidth="1"/>
    <col min="6" max="6" width="40" customWidth="1"/>
    <col min="7" max="7" width="38" customWidth="1"/>
    <col min="8" max="8" width="34" customWidth="1"/>
    <col min="9" max="11" width="14" customWidth="1"/>
    <col min="12" max="12" width="38" customWidth="1"/>
  </cols>
  <sheetData>
    <row r="1" spans="1:26" ht="27.6">
      <c r="A1" s="2" t="s">
        <v>441</v>
      </c>
      <c r="B1" s="2" t="s">
        <v>384</v>
      </c>
      <c r="C1" s="2" t="s">
        <v>442</v>
      </c>
      <c r="D1" s="2" t="s">
        <v>443</v>
      </c>
      <c r="E1" s="2" t="s">
        <v>444</v>
      </c>
      <c r="F1" s="2" t="s">
        <v>445</v>
      </c>
      <c r="G1" s="2" t="s">
        <v>446</v>
      </c>
      <c r="H1" s="2" t="s">
        <v>447</v>
      </c>
      <c r="I1" s="2" t="s">
        <v>448</v>
      </c>
      <c r="J1" s="2" t="s">
        <v>449</v>
      </c>
      <c r="K1" s="2" t="s">
        <v>82</v>
      </c>
      <c r="L1" s="2" t="s">
        <v>450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>
      <c r="A2" s="4" t="s">
        <v>451</v>
      </c>
      <c r="B2" s="4" t="s">
        <v>398</v>
      </c>
      <c r="C2" s="4" t="s">
        <v>452</v>
      </c>
      <c r="D2" s="4">
        <v>3</v>
      </c>
      <c r="E2" s="4" t="s">
        <v>453</v>
      </c>
      <c r="F2" s="4" t="s">
        <v>454</v>
      </c>
      <c r="G2" s="4" t="s">
        <v>455</v>
      </c>
      <c r="H2" s="4" t="s">
        <v>456</v>
      </c>
      <c r="I2" s="7"/>
      <c r="J2" s="7"/>
      <c r="K2" s="4" t="s">
        <v>90</v>
      </c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4" t="s">
        <v>457</v>
      </c>
      <c r="B3" s="4" t="s">
        <v>398</v>
      </c>
      <c r="C3" s="4" t="s">
        <v>458</v>
      </c>
      <c r="D3" s="4">
        <v>1</v>
      </c>
      <c r="E3" s="4" t="s">
        <v>453</v>
      </c>
      <c r="F3" s="4" t="s">
        <v>459</v>
      </c>
      <c r="G3" s="4" t="s">
        <v>460</v>
      </c>
      <c r="H3" s="4" t="s">
        <v>461</v>
      </c>
      <c r="I3" s="7"/>
      <c r="J3" s="7"/>
      <c r="K3" s="4" t="s">
        <v>90</v>
      </c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 t="s">
        <v>462</v>
      </c>
      <c r="B4" s="4" t="s">
        <v>398</v>
      </c>
      <c r="C4" s="4" t="s">
        <v>463</v>
      </c>
      <c r="D4" s="4">
        <v>1</v>
      </c>
      <c r="E4" s="4" t="s">
        <v>453</v>
      </c>
      <c r="F4" s="4" t="s">
        <v>464</v>
      </c>
      <c r="G4" s="4" t="s">
        <v>465</v>
      </c>
      <c r="H4" s="4" t="s">
        <v>466</v>
      </c>
      <c r="I4" s="7"/>
      <c r="J4" s="7"/>
      <c r="K4" s="4" t="s">
        <v>90</v>
      </c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 t="s">
        <v>467</v>
      </c>
      <c r="B5" s="4" t="s">
        <v>398</v>
      </c>
      <c r="C5" s="4" t="s">
        <v>468</v>
      </c>
      <c r="D5" s="4">
        <v>3</v>
      </c>
      <c r="E5" s="4" t="s">
        <v>469</v>
      </c>
      <c r="F5" s="4" t="s">
        <v>470</v>
      </c>
      <c r="G5" s="4" t="s">
        <v>471</v>
      </c>
      <c r="H5" s="4" t="s">
        <v>472</v>
      </c>
      <c r="I5" s="7"/>
      <c r="J5" s="7"/>
      <c r="K5" s="4" t="s">
        <v>90</v>
      </c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 t="s">
        <v>473</v>
      </c>
      <c r="B6" s="4" t="s">
        <v>161</v>
      </c>
      <c r="C6" s="4" t="s">
        <v>474</v>
      </c>
      <c r="D6" s="4">
        <v>3</v>
      </c>
      <c r="E6" s="4" t="s">
        <v>475</v>
      </c>
      <c r="F6" s="4" t="s">
        <v>476</v>
      </c>
      <c r="G6" s="4" t="s">
        <v>477</v>
      </c>
      <c r="H6" s="4" t="s">
        <v>478</v>
      </c>
      <c r="I6" s="7"/>
      <c r="J6" s="7"/>
      <c r="K6" s="4" t="s">
        <v>90</v>
      </c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4" t="s">
        <v>479</v>
      </c>
      <c r="B7" s="4" t="s">
        <v>161</v>
      </c>
      <c r="C7" s="4" t="s">
        <v>480</v>
      </c>
      <c r="D7" s="4">
        <v>1</v>
      </c>
      <c r="E7" s="4" t="s">
        <v>475</v>
      </c>
      <c r="F7" s="4" t="s">
        <v>481</v>
      </c>
      <c r="G7" s="4" t="s">
        <v>482</v>
      </c>
      <c r="H7" s="4" t="s">
        <v>483</v>
      </c>
      <c r="I7" s="7"/>
      <c r="J7" s="7"/>
      <c r="K7" s="4" t="s">
        <v>90</v>
      </c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4" t="s">
        <v>484</v>
      </c>
      <c r="B8" s="4" t="s">
        <v>162</v>
      </c>
      <c r="C8" s="4" t="s">
        <v>485</v>
      </c>
      <c r="D8" s="4">
        <v>3</v>
      </c>
      <c r="E8" s="4" t="s">
        <v>486</v>
      </c>
      <c r="F8" s="4" t="s">
        <v>487</v>
      </c>
      <c r="G8" s="4" t="s">
        <v>488</v>
      </c>
      <c r="H8" s="4" t="s">
        <v>489</v>
      </c>
      <c r="I8" s="7"/>
      <c r="J8" s="7"/>
      <c r="K8" s="4" t="s">
        <v>90</v>
      </c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4" t="s">
        <v>490</v>
      </c>
      <c r="B9" s="4" t="s">
        <v>163</v>
      </c>
      <c r="C9" s="4" t="s">
        <v>491</v>
      </c>
      <c r="D9" s="4">
        <v>2</v>
      </c>
      <c r="E9" s="4" t="s">
        <v>492</v>
      </c>
      <c r="F9" s="4" t="s">
        <v>493</v>
      </c>
      <c r="G9" s="4" t="s">
        <v>494</v>
      </c>
      <c r="H9" s="4" t="s">
        <v>495</v>
      </c>
      <c r="I9" s="7"/>
      <c r="J9" s="7"/>
      <c r="K9" s="4" t="s">
        <v>90</v>
      </c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4" t="s">
        <v>496</v>
      </c>
      <c r="B10" s="4" t="s">
        <v>163</v>
      </c>
      <c r="C10" s="4" t="s">
        <v>497</v>
      </c>
      <c r="D10" s="4">
        <v>1</v>
      </c>
      <c r="E10" s="4" t="s">
        <v>498</v>
      </c>
      <c r="F10" s="4" t="s">
        <v>499</v>
      </c>
      <c r="G10" s="4" t="s">
        <v>500</v>
      </c>
      <c r="H10" s="4" t="s">
        <v>501</v>
      </c>
      <c r="I10" s="7"/>
      <c r="J10" s="7"/>
      <c r="K10" s="4" t="s">
        <v>90</v>
      </c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4" t="s">
        <v>502</v>
      </c>
      <c r="B11" s="4" t="s">
        <v>503</v>
      </c>
      <c r="C11" s="4" t="s">
        <v>504</v>
      </c>
      <c r="D11" s="4">
        <v>2</v>
      </c>
      <c r="E11" s="4" t="s">
        <v>505</v>
      </c>
      <c r="F11" s="4" t="s">
        <v>506</v>
      </c>
      <c r="G11" s="4" t="s">
        <v>507</v>
      </c>
      <c r="H11" s="4" t="s">
        <v>508</v>
      </c>
      <c r="I11" s="7"/>
      <c r="J11" s="7"/>
      <c r="K11" s="4" t="s">
        <v>90</v>
      </c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>
      <c r="A12" s="4" t="s">
        <v>509</v>
      </c>
      <c r="B12" s="4" t="s">
        <v>503</v>
      </c>
      <c r="C12" s="4" t="s">
        <v>510</v>
      </c>
      <c r="D12" s="4">
        <v>2</v>
      </c>
      <c r="E12" s="4" t="s">
        <v>505</v>
      </c>
      <c r="F12" s="4" t="s">
        <v>511</v>
      </c>
      <c r="G12" s="4" t="s">
        <v>512</v>
      </c>
      <c r="H12" s="4" t="s">
        <v>513</v>
      </c>
      <c r="I12" s="7"/>
      <c r="J12" s="7"/>
      <c r="K12" s="4" t="s">
        <v>90</v>
      </c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>
      <c r="A13" s="4" t="s">
        <v>514</v>
      </c>
      <c r="B13" s="4" t="s">
        <v>503</v>
      </c>
      <c r="C13" s="4" t="s">
        <v>515</v>
      </c>
      <c r="D13" s="4">
        <v>1</v>
      </c>
      <c r="E13" s="4" t="s">
        <v>505</v>
      </c>
      <c r="F13" s="4" t="s">
        <v>516</v>
      </c>
      <c r="G13" s="4" t="s">
        <v>517</v>
      </c>
      <c r="H13" s="4" t="s">
        <v>518</v>
      </c>
      <c r="I13" s="7"/>
      <c r="J13" s="7"/>
      <c r="K13" s="4" t="s">
        <v>90</v>
      </c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Lists!$A$2:$A$6</xm:f>
          </x14:formula1>
          <xm:sqref>K2:K13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50"/>
  <sheetViews>
    <sheetView workbookViewId="0"/>
  </sheetViews>
  <sheetFormatPr defaultRowHeight="13.8"/>
  <cols>
    <col min="1" max="1" width="22" customWidth="1"/>
    <col min="2" max="2" width="30" customWidth="1"/>
    <col min="3" max="3" width="38" customWidth="1"/>
    <col min="4" max="5" width="34" customWidth="1"/>
    <col min="6" max="6" width="38" customWidth="1"/>
    <col min="7" max="10" width="34" customWidth="1"/>
    <col min="11" max="12" width="14" customWidth="1"/>
    <col min="13" max="13" width="55" customWidth="1"/>
    <col min="14" max="14" width="28" customWidth="1"/>
  </cols>
  <sheetData>
    <row r="1" spans="1:26" ht="27.6">
      <c r="A1" s="2" t="s">
        <v>384</v>
      </c>
      <c r="B1" s="2" t="s">
        <v>519</v>
      </c>
      <c r="C1" s="2" t="s">
        <v>520</v>
      </c>
      <c r="D1" s="2" t="s">
        <v>521</v>
      </c>
      <c r="E1" s="2" t="s">
        <v>522</v>
      </c>
      <c r="F1" s="2" t="s">
        <v>523</v>
      </c>
      <c r="G1" s="2" t="s">
        <v>524</v>
      </c>
      <c r="H1" s="2" t="s">
        <v>525</v>
      </c>
      <c r="I1" s="2" t="s">
        <v>526</v>
      </c>
      <c r="J1" s="2" t="s">
        <v>527</v>
      </c>
      <c r="K1" s="2" t="s">
        <v>528</v>
      </c>
      <c r="L1" s="2" t="s">
        <v>82</v>
      </c>
      <c r="M1" s="2" t="s">
        <v>529</v>
      </c>
      <c r="N1" s="2" t="s">
        <v>530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4" t="s">
        <v>398</v>
      </c>
      <c r="B2" s="4" t="s">
        <v>531</v>
      </c>
      <c r="C2" s="4" t="s">
        <v>532</v>
      </c>
      <c r="D2" s="4" t="s">
        <v>533</v>
      </c>
      <c r="E2" s="4" t="s">
        <v>534</v>
      </c>
      <c r="F2" s="4" t="s">
        <v>535</v>
      </c>
      <c r="G2" s="4" t="s">
        <v>536</v>
      </c>
      <c r="H2" s="4" t="s">
        <v>537</v>
      </c>
      <c r="I2" s="4" t="s">
        <v>538</v>
      </c>
      <c r="J2" s="4" t="s">
        <v>539</v>
      </c>
      <c r="K2" s="4" t="s">
        <v>540</v>
      </c>
      <c r="L2" s="4" t="s">
        <v>90</v>
      </c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1.4">
      <c r="A3" s="4" t="s">
        <v>398</v>
      </c>
      <c r="B3" s="4" t="s">
        <v>541</v>
      </c>
      <c r="C3" s="4" t="s">
        <v>542</v>
      </c>
      <c r="D3" s="4" t="s">
        <v>543</v>
      </c>
      <c r="E3" s="4" t="s">
        <v>544</v>
      </c>
      <c r="F3" s="4" t="s">
        <v>545</v>
      </c>
      <c r="G3" s="4" t="s">
        <v>546</v>
      </c>
      <c r="H3" s="4" t="s">
        <v>547</v>
      </c>
      <c r="I3" s="4" t="s">
        <v>548</v>
      </c>
      <c r="J3" s="4" t="s">
        <v>549</v>
      </c>
      <c r="K3" s="4" t="s">
        <v>540</v>
      </c>
      <c r="L3" s="4" t="s">
        <v>90</v>
      </c>
      <c r="M3" s="4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>
      <c r="A4" s="4" t="s">
        <v>398</v>
      </c>
      <c r="B4" s="4" t="s">
        <v>550</v>
      </c>
      <c r="C4" s="4" t="s">
        <v>551</v>
      </c>
      <c r="D4" s="4" t="s">
        <v>552</v>
      </c>
      <c r="E4" s="4" t="s">
        <v>553</v>
      </c>
      <c r="F4" s="4" t="s">
        <v>554</v>
      </c>
      <c r="G4" s="4" t="s">
        <v>555</v>
      </c>
      <c r="H4" s="4" t="s">
        <v>556</v>
      </c>
      <c r="I4" s="4" t="s">
        <v>557</v>
      </c>
      <c r="J4" s="4" t="s">
        <v>558</v>
      </c>
      <c r="K4" s="4" t="s">
        <v>540</v>
      </c>
      <c r="L4" s="4" t="s">
        <v>90</v>
      </c>
      <c r="M4" s="4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1.4">
      <c r="A5" s="4" t="s">
        <v>161</v>
      </c>
      <c r="B5" s="4" t="s">
        <v>559</v>
      </c>
      <c r="C5" s="4" t="s">
        <v>560</v>
      </c>
      <c r="D5" s="4" t="s">
        <v>561</v>
      </c>
      <c r="E5" s="4" t="s">
        <v>562</v>
      </c>
      <c r="F5" s="4" t="s">
        <v>563</v>
      </c>
      <c r="G5" s="4" t="s">
        <v>564</v>
      </c>
      <c r="H5" s="4" t="s">
        <v>565</v>
      </c>
      <c r="I5" s="4" t="s">
        <v>566</v>
      </c>
      <c r="J5" s="4" t="s">
        <v>567</v>
      </c>
      <c r="K5" s="4" t="s">
        <v>540</v>
      </c>
      <c r="L5" s="4" t="s">
        <v>90</v>
      </c>
      <c r="M5" s="4"/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 t="s">
        <v>161</v>
      </c>
      <c r="B6" s="4" t="s">
        <v>568</v>
      </c>
      <c r="C6" s="4" t="s">
        <v>569</v>
      </c>
      <c r="D6" s="4" t="s">
        <v>570</v>
      </c>
      <c r="E6" s="4" t="s">
        <v>571</v>
      </c>
      <c r="F6" s="4" t="s">
        <v>572</v>
      </c>
      <c r="G6" s="4" t="s">
        <v>573</v>
      </c>
      <c r="H6" s="4" t="s">
        <v>574</v>
      </c>
      <c r="I6" s="4" t="s">
        <v>575</v>
      </c>
      <c r="J6" s="4" t="s">
        <v>576</v>
      </c>
      <c r="K6" s="4" t="s">
        <v>540</v>
      </c>
      <c r="L6" s="4" t="s">
        <v>90</v>
      </c>
      <c r="M6" s="4"/>
      <c r="N6" s="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4">
      <c r="A7" s="4" t="s">
        <v>162</v>
      </c>
      <c r="B7" s="4" t="s">
        <v>577</v>
      </c>
      <c r="C7" s="4" t="s">
        <v>578</v>
      </c>
      <c r="D7" s="4" t="s">
        <v>579</v>
      </c>
      <c r="E7" s="4" t="s">
        <v>580</v>
      </c>
      <c r="F7" s="4" t="s">
        <v>581</v>
      </c>
      <c r="G7" s="4" t="s">
        <v>582</v>
      </c>
      <c r="H7" s="4" t="s">
        <v>583</v>
      </c>
      <c r="I7" s="4" t="s">
        <v>584</v>
      </c>
      <c r="J7" s="4" t="s">
        <v>585</v>
      </c>
      <c r="K7" s="4" t="s">
        <v>540</v>
      </c>
      <c r="L7" s="4" t="s">
        <v>90</v>
      </c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4" t="s">
        <v>163</v>
      </c>
      <c r="B8" s="4" t="s">
        <v>586</v>
      </c>
      <c r="C8" s="4" t="s">
        <v>587</v>
      </c>
      <c r="D8" s="4" t="s">
        <v>588</v>
      </c>
      <c r="E8" s="4" t="s">
        <v>589</v>
      </c>
      <c r="F8" s="4" t="s">
        <v>590</v>
      </c>
      <c r="G8" s="4" t="s">
        <v>591</v>
      </c>
      <c r="H8" s="4" t="s">
        <v>592</v>
      </c>
      <c r="I8" s="4" t="s">
        <v>593</v>
      </c>
      <c r="J8" s="4" t="s">
        <v>594</v>
      </c>
      <c r="K8" s="4" t="s">
        <v>540</v>
      </c>
      <c r="L8" s="4" t="s">
        <v>90</v>
      </c>
      <c r="M8" s="4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Lists!$F$2:$F$4</xm:f>
          </x14:formula1>
          <xm:sqref>K2:K8</xm:sqref>
        </x14:dataValidation>
        <x14:dataValidation type="list" xr:uid="{00000000-0002-0000-0600-000001000000}">
          <x14:formula1>
            <xm:f>Lists!$A$2:$A$6</xm:f>
          </x14:formula1>
          <xm:sqref>L2:L8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50"/>
  <sheetViews>
    <sheetView workbookViewId="0"/>
  </sheetViews>
  <sheetFormatPr defaultRowHeight="13.8"/>
  <cols>
    <col min="1" max="1" width="22" customWidth="1"/>
    <col min="2" max="2" width="32" customWidth="1"/>
    <col min="3" max="5" width="34" customWidth="1"/>
    <col min="6" max="6" width="36" customWidth="1"/>
    <col min="7" max="8" width="34" customWidth="1"/>
    <col min="9" max="9" width="16" customWidth="1"/>
    <col min="10" max="10" width="34" customWidth="1"/>
    <col min="11" max="11" width="14" customWidth="1"/>
    <col min="12" max="12" width="30" customWidth="1"/>
  </cols>
  <sheetData>
    <row r="1" spans="1:26" ht="27.6">
      <c r="A1" s="2" t="s">
        <v>384</v>
      </c>
      <c r="B1" s="2" t="s">
        <v>595</v>
      </c>
      <c r="C1" s="2" t="s">
        <v>596</v>
      </c>
      <c r="D1" s="2" t="s">
        <v>597</v>
      </c>
      <c r="E1" s="2" t="s">
        <v>598</v>
      </c>
      <c r="F1" s="2" t="s">
        <v>599</v>
      </c>
      <c r="G1" s="2" t="s">
        <v>600</v>
      </c>
      <c r="H1" s="2" t="s">
        <v>601</v>
      </c>
      <c r="I1" s="2" t="s">
        <v>602</v>
      </c>
      <c r="J1" s="2" t="s">
        <v>603</v>
      </c>
      <c r="K1" s="2" t="s">
        <v>82</v>
      </c>
      <c r="L1" s="2" t="s">
        <v>83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4" t="s">
        <v>398</v>
      </c>
      <c r="B2" s="4" t="s">
        <v>604</v>
      </c>
      <c r="C2" s="4" t="s">
        <v>605</v>
      </c>
      <c r="D2" s="4" t="s">
        <v>606</v>
      </c>
      <c r="E2" s="4" t="s">
        <v>607</v>
      </c>
      <c r="F2" s="4" t="s">
        <v>608</v>
      </c>
      <c r="G2" s="4" t="s">
        <v>609</v>
      </c>
      <c r="H2" s="4" t="s">
        <v>610</v>
      </c>
      <c r="I2" s="4">
        <v>50</v>
      </c>
      <c r="J2" s="4" t="s">
        <v>611</v>
      </c>
      <c r="K2" s="4" t="s">
        <v>90</v>
      </c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1.4">
      <c r="A3" s="4" t="s">
        <v>161</v>
      </c>
      <c r="B3" s="4" t="s">
        <v>612</v>
      </c>
      <c r="C3" s="4" t="s">
        <v>613</v>
      </c>
      <c r="D3" s="4" t="s">
        <v>614</v>
      </c>
      <c r="E3" s="4" t="s">
        <v>615</v>
      </c>
      <c r="F3" s="4" t="s">
        <v>616</v>
      </c>
      <c r="G3" s="4" t="s">
        <v>617</v>
      </c>
      <c r="H3" s="4" t="s">
        <v>618</v>
      </c>
      <c r="I3" s="4">
        <v>100</v>
      </c>
      <c r="J3" s="4" t="s">
        <v>619</v>
      </c>
      <c r="K3" s="4" t="s">
        <v>90</v>
      </c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 t="s">
        <v>162</v>
      </c>
      <c r="B4" s="4" t="s">
        <v>620</v>
      </c>
      <c r="C4" s="4" t="s">
        <v>621</v>
      </c>
      <c r="D4" s="4" t="s">
        <v>622</v>
      </c>
      <c r="E4" s="4" t="s">
        <v>623</v>
      </c>
      <c r="F4" s="4" t="s">
        <v>624</v>
      </c>
      <c r="G4" s="4" t="s">
        <v>625</v>
      </c>
      <c r="H4" s="4" t="s">
        <v>626</v>
      </c>
      <c r="I4" s="4">
        <v>40</v>
      </c>
      <c r="J4" s="4" t="s">
        <v>627</v>
      </c>
      <c r="K4" s="4" t="s">
        <v>90</v>
      </c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 t="s">
        <v>163</v>
      </c>
      <c r="B5" s="4" t="s">
        <v>628</v>
      </c>
      <c r="C5" s="4" t="s">
        <v>629</v>
      </c>
      <c r="D5" s="4" t="s">
        <v>630</v>
      </c>
      <c r="E5" s="4" t="s">
        <v>631</v>
      </c>
      <c r="F5" s="4" t="s">
        <v>632</v>
      </c>
      <c r="G5" s="4" t="s">
        <v>633</v>
      </c>
      <c r="H5" s="4" t="s">
        <v>634</v>
      </c>
      <c r="I5" s="4">
        <v>30</v>
      </c>
      <c r="J5" s="4" t="s">
        <v>635</v>
      </c>
      <c r="K5" s="4" t="s">
        <v>90</v>
      </c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" t="s">
        <v>636</v>
      </c>
      <c r="B8" s="2" t="s">
        <v>637</v>
      </c>
      <c r="C8" s="2" t="s">
        <v>638</v>
      </c>
      <c r="D8" s="2" t="s">
        <v>123</v>
      </c>
      <c r="E8" s="2" t="s">
        <v>639</v>
      </c>
      <c r="F8" s="2" t="s">
        <v>640</v>
      </c>
      <c r="G8" s="2" t="s">
        <v>641</v>
      </c>
      <c r="H8" s="2" t="s">
        <v>642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643</v>
      </c>
      <c r="B9" s="1">
        <v>10</v>
      </c>
      <c r="C9" s="1">
        <v>25</v>
      </c>
      <c r="D9" s="1">
        <v>50</v>
      </c>
      <c r="E9" s="1" t="s">
        <v>644</v>
      </c>
      <c r="F9" s="1" t="s">
        <v>645</v>
      </c>
      <c r="G9" s="1" t="s">
        <v>123</v>
      </c>
      <c r="H9" s="1" t="s">
        <v>646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647</v>
      </c>
      <c r="B10" s="1">
        <v>2500000</v>
      </c>
      <c r="C10" s="1">
        <v>6000000</v>
      </c>
      <c r="D10" s="1">
        <v>12000000</v>
      </c>
      <c r="E10" s="1" t="s">
        <v>648</v>
      </c>
      <c r="F10" s="1" t="s">
        <v>649</v>
      </c>
      <c r="G10" s="1" t="s">
        <v>123</v>
      </c>
      <c r="H10" s="1" t="s">
        <v>650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651</v>
      </c>
      <c r="B11" s="1">
        <v>5000000</v>
      </c>
      <c r="C11" s="1">
        <v>15000000</v>
      </c>
      <c r="D11" s="1">
        <v>30000000</v>
      </c>
      <c r="E11" s="1" t="s">
        <v>648</v>
      </c>
      <c r="F11" s="1" t="s">
        <v>652</v>
      </c>
      <c r="G11" s="1" t="s">
        <v>123</v>
      </c>
      <c r="H11" s="1" t="s">
        <v>646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653</v>
      </c>
      <c r="B12" s="1">
        <v>1.5</v>
      </c>
      <c r="C12" s="1">
        <v>2.5</v>
      </c>
      <c r="D12" s="1">
        <v>4</v>
      </c>
      <c r="E12" s="1" t="s">
        <v>654</v>
      </c>
      <c r="F12" s="1" t="s">
        <v>655</v>
      </c>
      <c r="G12" s="1" t="s">
        <v>123</v>
      </c>
      <c r="H12" s="1" t="s">
        <v>646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656</v>
      </c>
      <c r="B13" s="5">
        <v>0.1</v>
      </c>
      <c r="C13" s="5">
        <v>0.25</v>
      </c>
      <c r="D13" s="5">
        <v>0.45</v>
      </c>
      <c r="E13" s="1" t="s">
        <v>657</v>
      </c>
      <c r="F13" s="1" t="s">
        <v>658</v>
      </c>
      <c r="G13" s="1" t="s">
        <v>126</v>
      </c>
      <c r="H13" s="1" t="s">
        <v>646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" t="s">
        <v>659</v>
      </c>
      <c r="B15" s="2" t="s">
        <v>660</v>
      </c>
      <c r="C15" s="2" t="s">
        <v>661</v>
      </c>
      <c r="D15" s="2" t="s">
        <v>662</v>
      </c>
      <c r="E15" s="2" t="s">
        <v>663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664</v>
      </c>
      <c r="B16" s="8">
        <f>B9*B10*B12*B13</f>
        <v>3750000</v>
      </c>
      <c r="C16" s="8">
        <f>B9*B11*B13</f>
        <v>5000000</v>
      </c>
      <c r="D16" s="8">
        <f>B16+C16</f>
        <v>8750000</v>
      </c>
      <c r="E16" s="1" t="s">
        <v>665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638</v>
      </c>
      <c r="B17" s="8">
        <f>C9*C10*C12*C13</f>
        <v>93750000</v>
      </c>
      <c r="C17" s="8">
        <f>C9*C11*C13</f>
        <v>93750000</v>
      </c>
      <c r="D17" s="8">
        <f>B17+C17</f>
        <v>187500000</v>
      </c>
      <c r="E17" s="1" t="s">
        <v>666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Lists!$A$2:$A$6</xm:f>
          </x14:formula1>
          <xm:sqref>K2:K5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50"/>
  <sheetViews>
    <sheetView workbookViewId="0"/>
  </sheetViews>
  <sheetFormatPr defaultRowHeight="13.8"/>
  <cols>
    <col min="1" max="1" width="12" customWidth="1"/>
    <col min="2" max="2" width="14" customWidth="1"/>
    <col min="3" max="3" width="22" customWidth="1"/>
    <col min="4" max="4" width="34" customWidth="1"/>
    <col min="5" max="7" width="38" customWidth="1"/>
    <col min="8" max="11" width="34" customWidth="1"/>
    <col min="12" max="12" width="30" customWidth="1"/>
    <col min="13" max="13" width="14" customWidth="1"/>
  </cols>
  <sheetData>
    <row r="1" spans="1:26">
      <c r="A1" s="2" t="s">
        <v>667</v>
      </c>
      <c r="B1" s="2" t="s">
        <v>278</v>
      </c>
      <c r="C1" s="2" t="s">
        <v>384</v>
      </c>
      <c r="D1" s="2" t="s">
        <v>56</v>
      </c>
      <c r="E1" s="2" t="s">
        <v>668</v>
      </c>
      <c r="F1" s="2" t="s">
        <v>669</v>
      </c>
      <c r="G1" s="2" t="s">
        <v>670</v>
      </c>
      <c r="H1" s="2" t="s">
        <v>83</v>
      </c>
      <c r="I1" s="2" t="s">
        <v>671</v>
      </c>
      <c r="J1" s="2" t="s">
        <v>672</v>
      </c>
      <c r="K1" s="2" t="s">
        <v>673</v>
      </c>
      <c r="L1" s="2" t="s">
        <v>674</v>
      </c>
      <c r="M1" s="2" t="s">
        <v>82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4" t="s">
        <v>675</v>
      </c>
      <c r="B2" s="7"/>
      <c r="C2" s="4" t="s">
        <v>398</v>
      </c>
      <c r="D2" s="4" t="s">
        <v>676</v>
      </c>
      <c r="E2" s="4" t="s">
        <v>677</v>
      </c>
      <c r="F2" s="4" t="s">
        <v>678</v>
      </c>
      <c r="G2" s="4" t="s">
        <v>679</v>
      </c>
      <c r="H2" s="4" t="s">
        <v>680</v>
      </c>
      <c r="I2" s="4" t="s">
        <v>681</v>
      </c>
      <c r="J2" s="4" t="s">
        <v>682</v>
      </c>
      <c r="K2" s="4" t="s">
        <v>683</v>
      </c>
      <c r="L2" s="4"/>
      <c r="M2" s="4" t="s">
        <v>90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4" t="s">
        <v>684</v>
      </c>
      <c r="B3" s="7"/>
      <c r="C3" s="4" t="s">
        <v>161</v>
      </c>
      <c r="D3" s="4" t="s">
        <v>685</v>
      </c>
      <c r="E3" s="4" t="s">
        <v>686</v>
      </c>
      <c r="F3" s="4" t="s">
        <v>678</v>
      </c>
      <c r="G3" s="4" t="s">
        <v>687</v>
      </c>
      <c r="H3" s="4" t="s">
        <v>688</v>
      </c>
      <c r="I3" s="4" t="s">
        <v>689</v>
      </c>
      <c r="J3" s="4" t="s">
        <v>690</v>
      </c>
      <c r="K3" s="4" t="s">
        <v>691</v>
      </c>
      <c r="L3" s="4"/>
      <c r="M3" s="4" t="s">
        <v>90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 t="s">
        <v>692</v>
      </c>
      <c r="B4" s="7"/>
      <c r="C4" s="4" t="s">
        <v>163</v>
      </c>
      <c r="D4" s="4" t="s">
        <v>693</v>
      </c>
      <c r="E4" s="4" t="s">
        <v>694</v>
      </c>
      <c r="F4" s="4" t="s">
        <v>678</v>
      </c>
      <c r="G4" s="4" t="s">
        <v>695</v>
      </c>
      <c r="H4" s="4" t="s">
        <v>696</v>
      </c>
      <c r="I4" s="4" t="s">
        <v>697</v>
      </c>
      <c r="J4" s="4" t="s">
        <v>698</v>
      </c>
      <c r="K4" s="4" t="s">
        <v>699</v>
      </c>
      <c r="L4" s="4"/>
      <c r="M4" s="4" t="s">
        <v>90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/>
      <c r="B5" s="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/>
      <c r="B6" s="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/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7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7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7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7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7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/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/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/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/>
      <c r="B30" s="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/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/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/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/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/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/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/>
      <c r="B37" s="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/>
      <c r="B38" s="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4"/>
      <c r="B62" s="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4"/>
      <c r="B63" s="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4"/>
      <c r="B64" s="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4"/>
      <c r="B65" s="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4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4"/>
      <c r="B67" s="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4"/>
      <c r="B68" s="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4"/>
      <c r="B69" s="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4"/>
      <c r="B70" s="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4"/>
      <c r="B71" s="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4"/>
      <c r="B72" s="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4"/>
      <c r="B73" s="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4"/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4"/>
      <c r="B75" s="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4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4"/>
      <c r="B77" s="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4"/>
      <c r="B78" s="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4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4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4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4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4"/>
      <c r="B84" s="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4"/>
      <c r="B85" s="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4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4"/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4"/>
      <c r="B88" s="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4"/>
      <c r="B89" s="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4"/>
      <c r="B90" s="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4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4"/>
      <c r="B92" s="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4"/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4"/>
      <c r="B94" s="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4"/>
      <c r="B95" s="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4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4"/>
      <c r="B97" s="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4"/>
      <c r="B98" s="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4"/>
      <c r="B99" s="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4"/>
      <c r="B100" s="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4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4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4"/>
      <c r="B103" s="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4"/>
      <c r="B104" s="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4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4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4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4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4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4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4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4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4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4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4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4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4"/>
      <c r="B117" s="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4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4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4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4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4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4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4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4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4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4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4"/>
      <c r="B128" s="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4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4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4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4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4"/>
      <c r="B133" s="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4"/>
      <c r="B134" s="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4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4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4"/>
      <c r="B137" s="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4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4"/>
      <c r="B139" s="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4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4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4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4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4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4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4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4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4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4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4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4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4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4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4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4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4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4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4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4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4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4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4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4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4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4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4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4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4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4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4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4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4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4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4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4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4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4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4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4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4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4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4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4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4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4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4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4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4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4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4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4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4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4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4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4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4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4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4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4"/>
      <c r="B199" s="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4"/>
      <c r="B200" s="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Lists!$C$2:$C$9</xm:f>
          </x14:formula1>
          <xm:sqref>C2:C200</xm:sqref>
        </x14:dataValidation>
        <x14:dataValidation type="list" xr:uid="{00000000-0002-0000-0800-000001000000}">
          <x14:formula1>
            <xm:f>Lists!$A$2:$A$6</xm:f>
          </x14:formula1>
          <xm:sqref>M2:M200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50"/>
  <sheetViews>
    <sheetView workbookViewId="0"/>
  </sheetViews>
  <sheetFormatPr defaultRowHeight="13.8"/>
  <cols>
    <col min="1" max="1" width="22" customWidth="1"/>
    <col min="2" max="2" width="24" customWidth="1"/>
    <col min="3" max="3" width="34" customWidth="1"/>
    <col min="4" max="4" width="24" customWidth="1"/>
    <col min="5" max="5" width="34" customWidth="1"/>
    <col min="6" max="6" width="24" customWidth="1"/>
    <col min="7" max="7" width="34" customWidth="1"/>
    <col min="8" max="8" width="30" customWidth="1"/>
    <col min="9" max="11" width="28" customWidth="1"/>
    <col min="12" max="12" width="38" customWidth="1"/>
    <col min="13" max="13" width="12" customWidth="1"/>
    <col min="14" max="14" width="14" customWidth="1"/>
  </cols>
  <sheetData>
    <row r="1" spans="1:26">
      <c r="A1" s="2" t="s">
        <v>700</v>
      </c>
      <c r="B1" s="2" t="s">
        <v>701</v>
      </c>
      <c r="C1" s="2" t="s">
        <v>702</v>
      </c>
      <c r="D1" s="2" t="s">
        <v>703</v>
      </c>
      <c r="E1" s="2" t="s">
        <v>704</v>
      </c>
      <c r="F1" s="2" t="s">
        <v>705</v>
      </c>
      <c r="G1" s="2" t="s">
        <v>706</v>
      </c>
      <c r="H1" s="2" t="s">
        <v>707</v>
      </c>
      <c r="I1" s="2" t="s">
        <v>708</v>
      </c>
      <c r="J1" s="2" t="s">
        <v>709</v>
      </c>
      <c r="K1" s="2" t="s">
        <v>710</v>
      </c>
      <c r="L1" s="2" t="s">
        <v>711</v>
      </c>
      <c r="M1" s="2" t="s">
        <v>712</v>
      </c>
      <c r="N1" s="2" t="s">
        <v>82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4" t="s">
        <v>713</v>
      </c>
      <c r="B2" s="4" t="s">
        <v>714</v>
      </c>
      <c r="C2" s="4" t="s">
        <v>715</v>
      </c>
      <c r="D2" s="4" t="s">
        <v>716</v>
      </c>
      <c r="E2" s="4" t="s">
        <v>717</v>
      </c>
      <c r="F2" s="4" t="s">
        <v>718</v>
      </c>
      <c r="G2" s="4" t="s">
        <v>719</v>
      </c>
      <c r="H2" s="4" t="s">
        <v>720</v>
      </c>
      <c r="I2" s="4" t="s">
        <v>721</v>
      </c>
      <c r="J2" s="4" t="s">
        <v>722</v>
      </c>
      <c r="K2" s="4" t="s">
        <v>723</v>
      </c>
      <c r="L2" s="4" t="s">
        <v>724</v>
      </c>
      <c r="M2" s="4" t="s">
        <v>123</v>
      </c>
      <c r="N2" s="4" t="s">
        <v>90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4" t="s">
        <v>725</v>
      </c>
      <c r="B3" s="4" t="s">
        <v>726</v>
      </c>
      <c r="C3" s="4" t="s">
        <v>727</v>
      </c>
      <c r="D3" s="4" t="s">
        <v>728</v>
      </c>
      <c r="E3" s="4" t="s">
        <v>729</v>
      </c>
      <c r="F3" s="4" t="s">
        <v>718</v>
      </c>
      <c r="G3" s="4" t="s">
        <v>730</v>
      </c>
      <c r="H3" s="4" t="s">
        <v>731</v>
      </c>
      <c r="I3" s="4" t="s">
        <v>718</v>
      </c>
      <c r="J3" s="4" t="s">
        <v>718</v>
      </c>
      <c r="K3" s="4" t="s">
        <v>718</v>
      </c>
      <c r="L3" s="4" t="s">
        <v>732</v>
      </c>
      <c r="M3" s="4" t="s">
        <v>733</v>
      </c>
      <c r="N3" s="4" t="s">
        <v>90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 t="s">
        <v>734</v>
      </c>
      <c r="B4" s="4" t="s">
        <v>735</v>
      </c>
      <c r="C4" s="4" t="s">
        <v>736</v>
      </c>
      <c r="D4" s="4" t="s">
        <v>718</v>
      </c>
      <c r="E4" s="4" t="s">
        <v>729</v>
      </c>
      <c r="F4" s="4" t="s">
        <v>718</v>
      </c>
      <c r="G4" s="4" t="s">
        <v>737</v>
      </c>
      <c r="H4" s="4" t="s">
        <v>738</v>
      </c>
      <c r="I4" s="4" t="s">
        <v>718</v>
      </c>
      <c r="J4" s="4" t="s">
        <v>718</v>
      </c>
      <c r="K4" s="4" t="s">
        <v>718</v>
      </c>
      <c r="L4" s="4" t="s">
        <v>732</v>
      </c>
      <c r="M4" s="4" t="s">
        <v>733</v>
      </c>
      <c r="N4" s="4" t="s">
        <v>90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 t="s">
        <v>739</v>
      </c>
      <c r="B5" s="4" t="s">
        <v>740</v>
      </c>
      <c r="C5" s="4" t="s">
        <v>741</v>
      </c>
      <c r="D5" s="4" t="s">
        <v>742</v>
      </c>
      <c r="E5" s="4" t="s">
        <v>743</v>
      </c>
      <c r="F5" s="4" t="s">
        <v>744</v>
      </c>
      <c r="G5" s="4" t="s">
        <v>745</v>
      </c>
      <c r="H5" s="4" t="s">
        <v>746</v>
      </c>
      <c r="I5" s="4" t="s">
        <v>747</v>
      </c>
      <c r="J5" s="4" t="s">
        <v>748</v>
      </c>
      <c r="K5" s="4" t="s">
        <v>749</v>
      </c>
      <c r="L5" s="4" t="s">
        <v>750</v>
      </c>
      <c r="M5" s="4" t="s">
        <v>664</v>
      </c>
      <c r="N5" s="4" t="s">
        <v>90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 t="s">
        <v>751</v>
      </c>
      <c r="B6" s="4" t="s">
        <v>740</v>
      </c>
      <c r="C6" s="4" t="s">
        <v>752</v>
      </c>
      <c r="D6" s="4" t="s">
        <v>753</v>
      </c>
      <c r="E6" s="4" t="s">
        <v>743</v>
      </c>
      <c r="F6" s="4" t="s">
        <v>718</v>
      </c>
      <c r="G6" s="4" t="s">
        <v>754</v>
      </c>
      <c r="H6" s="4" t="s">
        <v>755</v>
      </c>
      <c r="I6" s="4" t="s">
        <v>756</v>
      </c>
      <c r="J6" s="4" t="s">
        <v>757</v>
      </c>
      <c r="K6" s="4" t="s">
        <v>758</v>
      </c>
      <c r="L6" s="4" t="s">
        <v>750</v>
      </c>
      <c r="M6" s="4" t="s">
        <v>664</v>
      </c>
      <c r="N6" s="4" t="s">
        <v>90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900-000000000000}">
          <x14:formula1>
            <xm:f>Lists!$H$2:$H$5</xm:f>
          </x14:formula1>
          <xm:sqref>M2:M6</xm:sqref>
        </x14:dataValidation>
        <x14:dataValidation type="list" xr:uid="{00000000-0002-0000-0900-000001000000}">
          <x14:formula1>
            <xm:f>Lists!$A$2:$A$6</xm:f>
          </x14:formula1>
          <xm:sqref>N2:N6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50"/>
  <sheetViews>
    <sheetView workbookViewId="0"/>
  </sheetViews>
  <sheetFormatPr defaultRowHeight="13.8"/>
  <cols>
    <col min="1" max="1" width="12" customWidth="1"/>
    <col min="2" max="2" width="24" customWidth="1"/>
    <col min="3" max="4" width="38" customWidth="1"/>
    <col min="5" max="5" width="12" customWidth="1"/>
    <col min="6" max="6" width="16" customWidth="1"/>
    <col min="7" max="7" width="18" customWidth="1"/>
    <col min="8" max="8" width="14" customWidth="1"/>
    <col min="9" max="9" width="30" customWidth="1"/>
    <col min="10" max="10" width="48" customWidth="1"/>
    <col min="11" max="11" width="22" customWidth="1"/>
  </cols>
  <sheetData>
    <row r="1" spans="1:26" ht="27.6">
      <c r="A1" s="2" t="s">
        <v>759</v>
      </c>
      <c r="B1" s="2" t="s">
        <v>760</v>
      </c>
      <c r="C1" s="2" t="s">
        <v>761</v>
      </c>
      <c r="D1" s="2" t="s">
        <v>283</v>
      </c>
      <c r="E1" s="2" t="s">
        <v>762</v>
      </c>
      <c r="F1" s="2" t="s">
        <v>642</v>
      </c>
      <c r="G1" s="2" t="s">
        <v>763</v>
      </c>
      <c r="H1" s="2" t="s">
        <v>82</v>
      </c>
      <c r="I1" s="2" t="s">
        <v>56</v>
      </c>
      <c r="J1" s="2" t="s">
        <v>764</v>
      </c>
      <c r="K1" s="2" t="s">
        <v>765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4" t="s">
        <v>766</v>
      </c>
      <c r="B2" s="4" t="s">
        <v>160</v>
      </c>
      <c r="C2" s="4" t="s">
        <v>767</v>
      </c>
      <c r="D2" s="4" t="s">
        <v>768</v>
      </c>
      <c r="E2" s="4" t="s">
        <v>126</v>
      </c>
      <c r="F2" s="4" t="s">
        <v>646</v>
      </c>
      <c r="G2" s="4" t="s">
        <v>769</v>
      </c>
      <c r="H2" s="4" t="s">
        <v>90</v>
      </c>
      <c r="I2" s="4"/>
      <c r="J2" s="4" t="s">
        <v>770</v>
      </c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4" t="s">
        <v>771</v>
      </c>
      <c r="B3" s="4" t="s">
        <v>362</v>
      </c>
      <c r="C3" s="4" t="s">
        <v>772</v>
      </c>
      <c r="D3" s="4" t="s">
        <v>773</v>
      </c>
      <c r="E3" s="4" t="s">
        <v>126</v>
      </c>
      <c r="F3" s="4" t="s">
        <v>646</v>
      </c>
      <c r="G3" s="4" t="s">
        <v>769</v>
      </c>
      <c r="H3" s="4" t="s">
        <v>90</v>
      </c>
      <c r="I3" s="4"/>
      <c r="J3" s="4" t="s">
        <v>774</v>
      </c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 t="s">
        <v>775</v>
      </c>
      <c r="B4" s="4" t="s">
        <v>776</v>
      </c>
      <c r="C4" s="4" t="s">
        <v>777</v>
      </c>
      <c r="D4" s="4" t="s">
        <v>778</v>
      </c>
      <c r="E4" s="4" t="s">
        <v>123</v>
      </c>
      <c r="F4" s="4" t="s">
        <v>646</v>
      </c>
      <c r="G4" s="4" t="s">
        <v>779</v>
      </c>
      <c r="H4" s="4" t="s">
        <v>90</v>
      </c>
      <c r="I4" s="4"/>
      <c r="J4" s="4" t="s">
        <v>780</v>
      </c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 t="s">
        <v>781</v>
      </c>
      <c r="B5" s="4" t="s">
        <v>782</v>
      </c>
      <c r="C5" s="4" t="s">
        <v>783</v>
      </c>
      <c r="D5" s="4" t="s">
        <v>784</v>
      </c>
      <c r="E5" s="4" t="s">
        <v>123</v>
      </c>
      <c r="F5" s="4" t="s">
        <v>646</v>
      </c>
      <c r="G5" s="4" t="s">
        <v>245</v>
      </c>
      <c r="H5" s="4" t="s">
        <v>90</v>
      </c>
      <c r="I5" s="4"/>
      <c r="J5" s="4" t="s">
        <v>785</v>
      </c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 t="s">
        <v>786</v>
      </c>
      <c r="B6" s="4" t="s">
        <v>163</v>
      </c>
      <c r="C6" s="4" t="s">
        <v>787</v>
      </c>
      <c r="D6" s="4" t="s">
        <v>788</v>
      </c>
      <c r="E6" s="4" t="s">
        <v>126</v>
      </c>
      <c r="F6" s="4" t="s">
        <v>646</v>
      </c>
      <c r="G6" s="4" t="s">
        <v>779</v>
      </c>
      <c r="H6" s="4" t="s">
        <v>90</v>
      </c>
      <c r="I6" s="4"/>
      <c r="J6" s="4" t="s">
        <v>789</v>
      </c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4" t="s">
        <v>790</v>
      </c>
      <c r="B7" s="4" t="s">
        <v>782</v>
      </c>
      <c r="C7" s="4" t="s">
        <v>791</v>
      </c>
      <c r="D7" s="4" t="s">
        <v>792</v>
      </c>
      <c r="E7" s="4" t="s">
        <v>123</v>
      </c>
      <c r="F7" s="4" t="s">
        <v>793</v>
      </c>
      <c r="G7" s="4" t="s">
        <v>245</v>
      </c>
      <c r="H7" s="4" t="s">
        <v>90</v>
      </c>
      <c r="I7" s="4"/>
      <c r="J7" s="4" t="s">
        <v>794</v>
      </c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Lists!$A$2:$A$6</xm:f>
          </x14:formula1>
          <xm:sqref>H2:H7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50"/>
  <sheetViews>
    <sheetView workbookViewId="0"/>
  </sheetViews>
  <sheetFormatPr defaultRowHeight="13.8"/>
  <cols>
    <col min="1" max="1" width="12" customWidth="1"/>
    <col min="2" max="2" width="18" customWidth="1"/>
    <col min="3" max="3" width="24" customWidth="1"/>
    <col min="4" max="4" width="10" customWidth="1"/>
    <col min="5" max="5" width="20" customWidth="1"/>
    <col min="6" max="6" width="34" customWidth="1"/>
    <col min="7" max="7" width="56" customWidth="1"/>
    <col min="8" max="8" width="34" customWidth="1"/>
    <col min="9" max="9" width="38" customWidth="1"/>
    <col min="10" max="10" width="42" customWidth="1"/>
    <col min="11" max="11" width="36" customWidth="1"/>
    <col min="12" max="12" width="30" customWidth="1"/>
    <col min="13" max="14" width="10" customWidth="1"/>
    <col min="15" max="15" width="14" customWidth="1"/>
    <col min="16" max="16" width="24" customWidth="1"/>
    <col min="17" max="17" width="36" customWidth="1"/>
  </cols>
  <sheetData>
    <row r="1" spans="1:26">
      <c r="A1" s="2" t="s">
        <v>795</v>
      </c>
      <c r="B1" s="2" t="s">
        <v>156</v>
      </c>
      <c r="C1" s="2" t="s">
        <v>384</v>
      </c>
      <c r="D1" s="2" t="s">
        <v>75</v>
      </c>
      <c r="E1" s="2" t="s">
        <v>796</v>
      </c>
      <c r="F1" s="2" t="s">
        <v>797</v>
      </c>
      <c r="G1" s="2" t="s">
        <v>798</v>
      </c>
      <c r="H1" s="2" t="s">
        <v>799</v>
      </c>
      <c r="I1" s="2" t="s">
        <v>800</v>
      </c>
      <c r="J1" s="2" t="s">
        <v>801</v>
      </c>
      <c r="K1" s="2" t="s">
        <v>802</v>
      </c>
      <c r="L1" s="2" t="s">
        <v>803</v>
      </c>
      <c r="M1" s="2" t="s">
        <v>804</v>
      </c>
      <c r="N1" s="2" t="s">
        <v>51</v>
      </c>
      <c r="O1" s="2" t="s">
        <v>82</v>
      </c>
      <c r="P1" s="2" t="s">
        <v>805</v>
      </c>
      <c r="Q1" s="2" t="s">
        <v>167</v>
      </c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4" t="s">
        <v>806</v>
      </c>
      <c r="B2" s="4" t="s">
        <v>807</v>
      </c>
      <c r="C2" s="4" t="s">
        <v>808</v>
      </c>
      <c r="D2" s="4" t="s">
        <v>809</v>
      </c>
      <c r="E2" s="4" t="s">
        <v>384</v>
      </c>
      <c r="F2" s="4" t="s">
        <v>810</v>
      </c>
      <c r="G2" s="4" t="s">
        <v>811</v>
      </c>
      <c r="H2" s="4" t="s">
        <v>812</v>
      </c>
      <c r="I2" s="4" t="s">
        <v>813</v>
      </c>
      <c r="J2" s="4" t="s">
        <v>814</v>
      </c>
      <c r="K2" s="4" t="s">
        <v>815</v>
      </c>
      <c r="L2" s="4" t="s">
        <v>816</v>
      </c>
      <c r="M2" s="4">
        <v>5</v>
      </c>
      <c r="N2" s="4">
        <v>5</v>
      </c>
      <c r="O2" s="4" t="s">
        <v>90</v>
      </c>
      <c r="P2" s="4" t="s">
        <v>817</v>
      </c>
      <c r="Q2" s="4" t="s">
        <v>818</v>
      </c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4" t="s">
        <v>819</v>
      </c>
      <c r="B3" s="4" t="s">
        <v>807</v>
      </c>
      <c r="C3" s="4" t="s">
        <v>808</v>
      </c>
      <c r="D3" s="4" t="s">
        <v>809</v>
      </c>
      <c r="E3" s="4" t="s">
        <v>820</v>
      </c>
      <c r="F3" s="4" t="s">
        <v>821</v>
      </c>
      <c r="G3" s="4" t="s">
        <v>822</v>
      </c>
      <c r="H3" s="4" t="s">
        <v>823</v>
      </c>
      <c r="I3" s="4" t="s">
        <v>824</v>
      </c>
      <c r="J3" s="4" t="s">
        <v>825</v>
      </c>
      <c r="K3" s="4" t="s">
        <v>826</v>
      </c>
      <c r="L3" s="4" t="s">
        <v>827</v>
      </c>
      <c r="M3" s="4">
        <v>5</v>
      </c>
      <c r="N3" s="4">
        <v>10</v>
      </c>
      <c r="O3" s="4" t="s">
        <v>90</v>
      </c>
      <c r="P3" s="4" t="s">
        <v>823</v>
      </c>
      <c r="Q3" s="4" t="s">
        <v>828</v>
      </c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 t="s">
        <v>829</v>
      </c>
      <c r="B4" s="4" t="s">
        <v>807</v>
      </c>
      <c r="C4" s="4" t="s">
        <v>398</v>
      </c>
      <c r="D4" s="4" t="s">
        <v>809</v>
      </c>
      <c r="E4" s="4" t="s">
        <v>830</v>
      </c>
      <c r="F4" s="4" t="s">
        <v>831</v>
      </c>
      <c r="G4" s="4" t="s">
        <v>832</v>
      </c>
      <c r="H4" s="4" t="s">
        <v>833</v>
      </c>
      <c r="I4" s="4" t="s">
        <v>834</v>
      </c>
      <c r="J4" s="4" t="s">
        <v>835</v>
      </c>
      <c r="K4" s="4" t="s">
        <v>836</v>
      </c>
      <c r="L4" s="4" t="s">
        <v>837</v>
      </c>
      <c r="M4" s="4">
        <v>5</v>
      </c>
      <c r="N4" s="4">
        <v>7</v>
      </c>
      <c r="O4" s="4" t="s">
        <v>90</v>
      </c>
      <c r="P4" s="4" t="s">
        <v>817</v>
      </c>
      <c r="Q4" s="4" t="s">
        <v>838</v>
      </c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 t="s">
        <v>839</v>
      </c>
      <c r="B5" s="4" t="s">
        <v>807</v>
      </c>
      <c r="C5" s="4" t="s">
        <v>840</v>
      </c>
      <c r="D5" s="4" t="s">
        <v>809</v>
      </c>
      <c r="E5" s="4" t="s">
        <v>841</v>
      </c>
      <c r="F5" s="4" t="s">
        <v>842</v>
      </c>
      <c r="G5" s="4" t="s">
        <v>843</v>
      </c>
      <c r="H5" s="4" t="s">
        <v>844</v>
      </c>
      <c r="I5" s="4" t="s">
        <v>845</v>
      </c>
      <c r="J5" s="4" t="s">
        <v>846</v>
      </c>
      <c r="K5" s="4" t="s">
        <v>847</v>
      </c>
      <c r="L5" s="4" t="s">
        <v>848</v>
      </c>
      <c r="M5" s="4">
        <v>5</v>
      </c>
      <c r="N5" s="4">
        <v>12</v>
      </c>
      <c r="O5" s="4" t="s">
        <v>90</v>
      </c>
      <c r="P5" s="4" t="s">
        <v>817</v>
      </c>
      <c r="Q5" s="4" t="s">
        <v>849</v>
      </c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 t="s">
        <v>850</v>
      </c>
      <c r="B6" s="4" t="s">
        <v>851</v>
      </c>
      <c r="C6" s="4" t="s">
        <v>398</v>
      </c>
      <c r="D6" s="4" t="s">
        <v>809</v>
      </c>
      <c r="E6" s="4" t="s">
        <v>384</v>
      </c>
      <c r="F6" s="4" t="s">
        <v>852</v>
      </c>
      <c r="G6" s="4" t="s">
        <v>853</v>
      </c>
      <c r="H6" s="4" t="s">
        <v>854</v>
      </c>
      <c r="I6" s="4" t="s">
        <v>855</v>
      </c>
      <c r="J6" s="4" t="s">
        <v>856</v>
      </c>
      <c r="K6" s="4" t="s">
        <v>857</v>
      </c>
      <c r="L6" s="4" t="s">
        <v>858</v>
      </c>
      <c r="M6" s="4">
        <v>8</v>
      </c>
      <c r="N6" s="4">
        <v>20</v>
      </c>
      <c r="O6" s="4" t="s">
        <v>90</v>
      </c>
      <c r="P6" s="4" t="s">
        <v>859</v>
      </c>
      <c r="Q6" s="4" t="s">
        <v>860</v>
      </c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4" t="s">
        <v>861</v>
      </c>
      <c r="B7" s="4" t="s">
        <v>851</v>
      </c>
      <c r="C7" s="4" t="s">
        <v>840</v>
      </c>
      <c r="D7" s="4" t="s">
        <v>809</v>
      </c>
      <c r="E7" s="4" t="s">
        <v>862</v>
      </c>
      <c r="F7" s="4" t="s">
        <v>863</v>
      </c>
      <c r="G7" s="4" t="s">
        <v>864</v>
      </c>
      <c r="H7" s="4" t="s">
        <v>865</v>
      </c>
      <c r="I7" s="4" t="s">
        <v>866</v>
      </c>
      <c r="J7" s="4" t="s">
        <v>867</v>
      </c>
      <c r="K7" s="4" t="s">
        <v>868</v>
      </c>
      <c r="L7" s="4" t="s">
        <v>869</v>
      </c>
      <c r="M7" s="4">
        <v>8</v>
      </c>
      <c r="N7" s="4">
        <v>25</v>
      </c>
      <c r="O7" s="4" t="s">
        <v>90</v>
      </c>
      <c r="P7" s="4" t="s">
        <v>870</v>
      </c>
      <c r="Q7" s="4" t="s">
        <v>871</v>
      </c>
      <c r="R7" s="1"/>
      <c r="S7" s="1"/>
      <c r="T7" s="1"/>
      <c r="U7" s="1"/>
      <c r="V7" s="1"/>
      <c r="W7" s="1"/>
      <c r="X7" s="1"/>
      <c r="Y7" s="1"/>
      <c r="Z7" s="1"/>
    </row>
    <row r="8" spans="1:26" ht="41.4">
      <c r="A8" s="4" t="s">
        <v>872</v>
      </c>
      <c r="B8" s="4" t="s">
        <v>851</v>
      </c>
      <c r="C8" s="4" t="s">
        <v>398</v>
      </c>
      <c r="D8" s="4" t="s">
        <v>809</v>
      </c>
      <c r="E8" s="4" t="s">
        <v>851</v>
      </c>
      <c r="F8" s="4" t="s">
        <v>873</v>
      </c>
      <c r="G8" s="4" t="s">
        <v>874</v>
      </c>
      <c r="H8" s="4" t="s">
        <v>875</v>
      </c>
      <c r="I8" s="4" t="s">
        <v>876</v>
      </c>
      <c r="J8" s="4" t="s">
        <v>877</v>
      </c>
      <c r="K8" s="4" t="s">
        <v>878</v>
      </c>
      <c r="L8" s="4" t="s">
        <v>879</v>
      </c>
      <c r="M8" s="4">
        <v>13</v>
      </c>
      <c r="N8" s="4">
        <v>30</v>
      </c>
      <c r="O8" s="4" t="s">
        <v>90</v>
      </c>
      <c r="P8" s="4" t="s">
        <v>880</v>
      </c>
      <c r="Q8" s="4" t="s">
        <v>881</v>
      </c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4" t="s">
        <v>882</v>
      </c>
      <c r="B9" s="4" t="s">
        <v>851</v>
      </c>
      <c r="C9" s="4" t="s">
        <v>398</v>
      </c>
      <c r="D9" s="4" t="s">
        <v>809</v>
      </c>
      <c r="E9" s="4" t="s">
        <v>851</v>
      </c>
      <c r="F9" s="4" t="s">
        <v>883</v>
      </c>
      <c r="G9" s="4" t="s">
        <v>884</v>
      </c>
      <c r="H9" s="4" t="s">
        <v>885</v>
      </c>
      <c r="I9" s="4" t="s">
        <v>886</v>
      </c>
      <c r="J9" s="4" t="s">
        <v>887</v>
      </c>
      <c r="K9" s="4" t="s">
        <v>888</v>
      </c>
      <c r="L9" s="4" t="s">
        <v>889</v>
      </c>
      <c r="M9" s="4">
        <v>13</v>
      </c>
      <c r="N9" s="4">
        <v>38</v>
      </c>
      <c r="O9" s="4" t="s">
        <v>90</v>
      </c>
      <c r="P9" s="4" t="s">
        <v>890</v>
      </c>
      <c r="Q9" s="4" t="s">
        <v>891</v>
      </c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4" t="s">
        <v>892</v>
      </c>
      <c r="B10" s="4" t="s">
        <v>851</v>
      </c>
      <c r="C10" s="4" t="s">
        <v>398</v>
      </c>
      <c r="D10" s="4" t="s">
        <v>809</v>
      </c>
      <c r="E10" s="4" t="s">
        <v>893</v>
      </c>
      <c r="F10" s="4" t="s">
        <v>894</v>
      </c>
      <c r="G10" s="4" t="s">
        <v>895</v>
      </c>
      <c r="H10" s="4" t="s">
        <v>896</v>
      </c>
      <c r="I10" s="4" t="s">
        <v>897</v>
      </c>
      <c r="J10" s="4" t="s">
        <v>898</v>
      </c>
      <c r="K10" s="4" t="s">
        <v>899</v>
      </c>
      <c r="L10" s="4" t="s">
        <v>900</v>
      </c>
      <c r="M10" s="4">
        <v>13</v>
      </c>
      <c r="N10" s="4">
        <v>45</v>
      </c>
      <c r="O10" s="4" t="s">
        <v>90</v>
      </c>
      <c r="P10" s="4" t="s">
        <v>901</v>
      </c>
      <c r="Q10" s="4" t="s">
        <v>902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4" t="s">
        <v>903</v>
      </c>
      <c r="B11" s="4" t="s">
        <v>851</v>
      </c>
      <c r="C11" s="4" t="s">
        <v>398</v>
      </c>
      <c r="D11" s="4" t="s">
        <v>809</v>
      </c>
      <c r="E11" s="4" t="s">
        <v>830</v>
      </c>
      <c r="F11" s="4" t="s">
        <v>904</v>
      </c>
      <c r="G11" s="4" t="s">
        <v>905</v>
      </c>
      <c r="H11" s="4" t="s">
        <v>906</v>
      </c>
      <c r="I11" s="4" t="s">
        <v>907</v>
      </c>
      <c r="J11" s="4" t="s">
        <v>908</v>
      </c>
      <c r="K11" s="4" t="s">
        <v>909</v>
      </c>
      <c r="L11" s="4" t="s">
        <v>910</v>
      </c>
      <c r="M11" s="4">
        <v>8</v>
      </c>
      <c r="N11" s="4">
        <v>48</v>
      </c>
      <c r="O11" s="4" t="s">
        <v>90</v>
      </c>
      <c r="P11" s="4" t="s">
        <v>911</v>
      </c>
      <c r="Q11" s="4" t="s">
        <v>912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41.4">
      <c r="A12" s="4" t="s">
        <v>913</v>
      </c>
      <c r="B12" s="4" t="s">
        <v>914</v>
      </c>
      <c r="C12" s="4" t="s">
        <v>161</v>
      </c>
      <c r="D12" s="4" t="s">
        <v>809</v>
      </c>
      <c r="E12" s="4" t="s">
        <v>384</v>
      </c>
      <c r="F12" s="4" t="s">
        <v>915</v>
      </c>
      <c r="G12" s="4" t="s">
        <v>916</v>
      </c>
      <c r="H12" s="4" t="s">
        <v>917</v>
      </c>
      <c r="I12" s="4" t="s">
        <v>918</v>
      </c>
      <c r="J12" s="4" t="s">
        <v>919</v>
      </c>
      <c r="K12" s="4" t="s">
        <v>920</v>
      </c>
      <c r="L12" s="4" t="s">
        <v>921</v>
      </c>
      <c r="M12" s="4">
        <v>5</v>
      </c>
      <c r="N12" s="4">
        <v>25</v>
      </c>
      <c r="O12" s="4" t="s">
        <v>90</v>
      </c>
      <c r="P12" s="4" t="s">
        <v>817</v>
      </c>
      <c r="Q12" s="4" t="s">
        <v>922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41.4">
      <c r="A13" s="4" t="s">
        <v>923</v>
      </c>
      <c r="B13" s="4" t="s">
        <v>914</v>
      </c>
      <c r="C13" s="4" t="s">
        <v>161</v>
      </c>
      <c r="D13" s="4" t="s">
        <v>809</v>
      </c>
      <c r="E13" s="4" t="s">
        <v>851</v>
      </c>
      <c r="F13" s="4" t="s">
        <v>924</v>
      </c>
      <c r="G13" s="4" t="s">
        <v>925</v>
      </c>
      <c r="H13" s="4" t="s">
        <v>926</v>
      </c>
      <c r="I13" s="4" t="s">
        <v>927</v>
      </c>
      <c r="J13" s="4" t="s">
        <v>928</v>
      </c>
      <c r="K13" s="4" t="s">
        <v>929</v>
      </c>
      <c r="L13" s="4" t="s">
        <v>930</v>
      </c>
      <c r="M13" s="4">
        <v>13</v>
      </c>
      <c r="N13" s="4">
        <v>55</v>
      </c>
      <c r="O13" s="4" t="s">
        <v>90</v>
      </c>
      <c r="P13" s="4" t="s">
        <v>931</v>
      </c>
      <c r="Q13" s="4" t="s">
        <v>932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4" t="s">
        <v>933</v>
      </c>
      <c r="B14" s="4" t="s">
        <v>914</v>
      </c>
      <c r="C14" s="4" t="s">
        <v>161</v>
      </c>
      <c r="D14" s="4" t="s">
        <v>809</v>
      </c>
      <c r="E14" s="4" t="s">
        <v>893</v>
      </c>
      <c r="F14" s="4" t="s">
        <v>934</v>
      </c>
      <c r="G14" s="4" t="s">
        <v>935</v>
      </c>
      <c r="H14" s="4" t="s">
        <v>936</v>
      </c>
      <c r="I14" s="4" t="s">
        <v>937</v>
      </c>
      <c r="J14" s="4" t="s">
        <v>938</v>
      </c>
      <c r="K14" s="4" t="s">
        <v>939</v>
      </c>
      <c r="L14" s="4" t="s">
        <v>940</v>
      </c>
      <c r="M14" s="4">
        <v>13</v>
      </c>
      <c r="N14" s="4">
        <v>62</v>
      </c>
      <c r="O14" s="4" t="s">
        <v>90</v>
      </c>
      <c r="P14" s="4" t="s">
        <v>941</v>
      </c>
      <c r="Q14" s="4" t="s">
        <v>942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41.4">
      <c r="A15" s="4" t="s">
        <v>943</v>
      </c>
      <c r="B15" s="4" t="s">
        <v>944</v>
      </c>
      <c r="C15" s="4" t="s">
        <v>162</v>
      </c>
      <c r="D15" s="4" t="s">
        <v>945</v>
      </c>
      <c r="E15" s="4" t="s">
        <v>851</v>
      </c>
      <c r="F15" s="4" t="s">
        <v>946</v>
      </c>
      <c r="G15" s="4" t="s">
        <v>947</v>
      </c>
      <c r="H15" s="4" t="s">
        <v>948</v>
      </c>
      <c r="I15" s="4" t="s">
        <v>949</v>
      </c>
      <c r="J15" s="4" t="s">
        <v>950</v>
      </c>
      <c r="K15" s="4" t="s">
        <v>951</v>
      </c>
      <c r="L15" s="4" t="s">
        <v>952</v>
      </c>
      <c r="M15" s="4">
        <v>13</v>
      </c>
      <c r="N15" s="4">
        <v>63</v>
      </c>
      <c r="O15" s="4" t="s">
        <v>90</v>
      </c>
      <c r="P15" s="4" t="s">
        <v>953</v>
      </c>
      <c r="Q15" s="4" t="s">
        <v>954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41.4">
      <c r="A16" s="4" t="s">
        <v>955</v>
      </c>
      <c r="B16" s="4" t="s">
        <v>944</v>
      </c>
      <c r="C16" s="4" t="s">
        <v>163</v>
      </c>
      <c r="D16" s="4" t="s">
        <v>945</v>
      </c>
      <c r="E16" s="4" t="s">
        <v>384</v>
      </c>
      <c r="F16" s="4" t="s">
        <v>956</v>
      </c>
      <c r="G16" s="4" t="s">
        <v>957</v>
      </c>
      <c r="H16" s="4" t="s">
        <v>958</v>
      </c>
      <c r="I16" s="4" t="s">
        <v>959</v>
      </c>
      <c r="J16" s="4" t="s">
        <v>960</v>
      </c>
      <c r="K16" s="4" t="s">
        <v>961</v>
      </c>
      <c r="L16" s="4" t="s">
        <v>962</v>
      </c>
      <c r="M16" s="4">
        <v>8</v>
      </c>
      <c r="N16" s="4">
        <v>65</v>
      </c>
      <c r="O16" s="4" t="s">
        <v>90</v>
      </c>
      <c r="P16" s="4" t="s">
        <v>870</v>
      </c>
      <c r="Q16" s="4" t="s">
        <v>963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41.4">
      <c r="A17" s="4" t="s">
        <v>964</v>
      </c>
      <c r="B17" s="4" t="s">
        <v>83</v>
      </c>
      <c r="C17" s="4" t="s">
        <v>965</v>
      </c>
      <c r="D17" s="4" t="s">
        <v>809</v>
      </c>
      <c r="E17" s="4" t="s">
        <v>966</v>
      </c>
      <c r="F17" s="4" t="s">
        <v>967</v>
      </c>
      <c r="G17" s="4" t="s">
        <v>968</v>
      </c>
      <c r="H17" s="4" t="s">
        <v>969</v>
      </c>
      <c r="I17" s="4" t="s">
        <v>970</v>
      </c>
      <c r="J17" s="4" t="s">
        <v>971</v>
      </c>
      <c r="K17" s="4" t="s">
        <v>972</v>
      </c>
      <c r="L17" s="4" t="s">
        <v>973</v>
      </c>
      <c r="M17" s="4">
        <v>8</v>
      </c>
      <c r="N17" s="4">
        <v>68</v>
      </c>
      <c r="O17" s="4" t="s">
        <v>90</v>
      </c>
      <c r="P17" s="4" t="s">
        <v>311</v>
      </c>
      <c r="Q17" s="4" t="s">
        <v>974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27.6">
      <c r="A18" s="4" t="s">
        <v>975</v>
      </c>
      <c r="B18" s="4" t="s">
        <v>83</v>
      </c>
      <c r="C18" s="4" t="s">
        <v>965</v>
      </c>
      <c r="D18" s="4" t="s">
        <v>809</v>
      </c>
      <c r="E18" s="4" t="s">
        <v>384</v>
      </c>
      <c r="F18" s="4" t="s">
        <v>976</v>
      </c>
      <c r="G18" s="4" t="s">
        <v>977</v>
      </c>
      <c r="H18" s="4" t="s">
        <v>978</v>
      </c>
      <c r="I18" s="4" t="s">
        <v>979</v>
      </c>
      <c r="J18" s="4" t="s">
        <v>980</v>
      </c>
      <c r="K18" s="4" t="s">
        <v>981</v>
      </c>
      <c r="L18" s="4" t="s">
        <v>982</v>
      </c>
      <c r="M18" s="4">
        <v>8</v>
      </c>
      <c r="N18" s="4">
        <v>70</v>
      </c>
      <c r="O18" s="4" t="s">
        <v>90</v>
      </c>
      <c r="P18" s="4" t="s">
        <v>973</v>
      </c>
      <c r="Q18" s="4" t="s">
        <v>983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41.4">
      <c r="A19" s="4" t="s">
        <v>984</v>
      </c>
      <c r="B19" s="4" t="s">
        <v>83</v>
      </c>
      <c r="C19" s="4" t="s">
        <v>25</v>
      </c>
      <c r="D19" s="4" t="s">
        <v>809</v>
      </c>
      <c r="E19" s="4" t="s">
        <v>384</v>
      </c>
      <c r="F19" s="4" t="s">
        <v>985</v>
      </c>
      <c r="G19" s="4" t="s">
        <v>986</v>
      </c>
      <c r="H19" s="4" t="s">
        <v>987</v>
      </c>
      <c r="I19" s="4" t="s">
        <v>988</v>
      </c>
      <c r="J19" s="4" t="s">
        <v>989</v>
      </c>
      <c r="K19" s="4" t="s">
        <v>990</v>
      </c>
      <c r="L19" s="4" t="s">
        <v>991</v>
      </c>
      <c r="M19" s="4">
        <v>13</v>
      </c>
      <c r="N19" s="4">
        <v>72</v>
      </c>
      <c r="O19" s="4" t="s">
        <v>90</v>
      </c>
      <c r="P19" s="4" t="s">
        <v>870</v>
      </c>
      <c r="Q19" s="4" t="s">
        <v>992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27.6">
      <c r="A20" s="4" t="s">
        <v>993</v>
      </c>
      <c r="B20" s="4" t="s">
        <v>83</v>
      </c>
      <c r="C20" s="4" t="s">
        <v>808</v>
      </c>
      <c r="D20" s="4" t="s">
        <v>809</v>
      </c>
      <c r="E20" s="4" t="s">
        <v>994</v>
      </c>
      <c r="F20" s="4" t="s">
        <v>995</v>
      </c>
      <c r="G20" s="4" t="s">
        <v>996</v>
      </c>
      <c r="H20" s="4" t="s">
        <v>997</v>
      </c>
      <c r="I20" s="4" t="s">
        <v>998</v>
      </c>
      <c r="J20" s="4" t="s">
        <v>999</v>
      </c>
      <c r="K20" s="4" t="s">
        <v>1000</v>
      </c>
      <c r="L20" s="4" t="s">
        <v>1001</v>
      </c>
      <c r="M20" s="4">
        <v>8</v>
      </c>
      <c r="N20" s="4">
        <v>76</v>
      </c>
      <c r="O20" s="4" t="s">
        <v>90</v>
      </c>
      <c r="P20" s="4" t="s">
        <v>362</v>
      </c>
      <c r="Q20" s="4" t="s">
        <v>1002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27.6">
      <c r="A21" s="4" t="s">
        <v>1003</v>
      </c>
      <c r="B21" s="4" t="s">
        <v>1004</v>
      </c>
      <c r="C21" s="4" t="s">
        <v>808</v>
      </c>
      <c r="D21" s="4" t="s">
        <v>809</v>
      </c>
      <c r="E21" s="4" t="s">
        <v>820</v>
      </c>
      <c r="F21" s="4" t="s">
        <v>1005</v>
      </c>
      <c r="G21" s="4" t="s">
        <v>1006</v>
      </c>
      <c r="H21" s="4" t="s">
        <v>1007</v>
      </c>
      <c r="I21" s="4" t="s">
        <v>1008</v>
      </c>
      <c r="J21" s="4" t="s">
        <v>1009</v>
      </c>
      <c r="K21" s="4" t="s">
        <v>1010</v>
      </c>
      <c r="L21" s="4" t="s">
        <v>1011</v>
      </c>
      <c r="M21" s="4">
        <v>5</v>
      </c>
      <c r="N21" s="4">
        <v>82</v>
      </c>
      <c r="O21" s="4" t="s">
        <v>90</v>
      </c>
      <c r="P21" s="4" t="s">
        <v>1012</v>
      </c>
      <c r="Q21" s="4" t="s">
        <v>1013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7.6">
      <c r="A22" s="4" t="s">
        <v>1014</v>
      </c>
      <c r="B22" s="4" t="s">
        <v>1004</v>
      </c>
      <c r="C22" s="4" t="s">
        <v>398</v>
      </c>
      <c r="D22" s="4" t="s">
        <v>809</v>
      </c>
      <c r="E22" s="4" t="s">
        <v>994</v>
      </c>
      <c r="F22" s="4" t="s">
        <v>1015</v>
      </c>
      <c r="G22" s="4" t="s">
        <v>1016</v>
      </c>
      <c r="H22" s="4" t="s">
        <v>1017</v>
      </c>
      <c r="I22" s="4" t="s">
        <v>1018</v>
      </c>
      <c r="J22" s="4" t="s">
        <v>1019</v>
      </c>
      <c r="K22" s="4" t="s">
        <v>1020</v>
      </c>
      <c r="L22" s="4" t="s">
        <v>226</v>
      </c>
      <c r="M22" s="4">
        <v>13</v>
      </c>
      <c r="N22" s="4">
        <v>88</v>
      </c>
      <c r="O22" s="4" t="s">
        <v>90</v>
      </c>
      <c r="P22" s="4" t="s">
        <v>1021</v>
      </c>
      <c r="Q22" s="4" t="s">
        <v>1022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27.6">
      <c r="A23" s="4" t="s">
        <v>1023</v>
      </c>
      <c r="B23" s="4" t="s">
        <v>1004</v>
      </c>
      <c r="C23" s="4" t="s">
        <v>161</v>
      </c>
      <c r="D23" s="4" t="s">
        <v>809</v>
      </c>
      <c r="E23" s="4" t="s">
        <v>994</v>
      </c>
      <c r="F23" s="4" t="s">
        <v>1024</v>
      </c>
      <c r="G23" s="4" t="s">
        <v>1025</v>
      </c>
      <c r="H23" s="4" t="s">
        <v>1026</v>
      </c>
      <c r="I23" s="4" t="s">
        <v>1027</v>
      </c>
      <c r="J23" s="4" t="s">
        <v>1028</v>
      </c>
      <c r="K23" s="4" t="s">
        <v>1029</v>
      </c>
      <c r="L23" s="4" t="s">
        <v>227</v>
      </c>
      <c r="M23" s="4">
        <v>13</v>
      </c>
      <c r="N23" s="4">
        <v>88</v>
      </c>
      <c r="O23" s="4" t="s">
        <v>90</v>
      </c>
      <c r="P23" s="4" t="s">
        <v>1030</v>
      </c>
      <c r="Q23" s="4" t="s">
        <v>1031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41.4">
      <c r="A24" s="4" t="s">
        <v>1032</v>
      </c>
      <c r="B24" s="4" t="s">
        <v>1004</v>
      </c>
      <c r="C24" s="4" t="s">
        <v>808</v>
      </c>
      <c r="D24" s="4" t="s">
        <v>809</v>
      </c>
      <c r="E24" s="4" t="s">
        <v>994</v>
      </c>
      <c r="F24" s="4" t="s">
        <v>1033</v>
      </c>
      <c r="G24" s="4" t="s">
        <v>1034</v>
      </c>
      <c r="H24" s="4" t="s">
        <v>1035</v>
      </c>
      <c r="I24" s="4" t="s">
        <v>1036</v>
      </c>
      <c r="J24" s="4" t="s">
        <v>1037</v>
      </c>
      <c r="K24" s="4" t="s">
        <v>1038</v>
      </c>
      <c r="L24" s="4" t="s">
        <v>1039</v>
      </c>
      <c r="M24" s="4">
        <v>8</v>
      </c>
      <c r="N24" s="4">
        <v>90</v>
      </c>
      <c r="O24" s="4" t="s">
        <v>90</v>
      </c>
      <c r="P24" s="4" t="s">
        <v>1040</v>
      </c>
      <c r="Q24" s="4" t="s">
        <v>1041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conditionalFormatting sqref="O2:O24">
    <cfRule type="expression" dxfId="1" priority="1">
      <formula>O2="Completed"</formula>
    </cfRule>
    <cfRule type="expression" dxfId="0" priority="2">
      <formula>O2="Blocked"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B00-000000000000}">
          <x14:formula1>
            <xm:f>Lists!$C$2:$C$9</xm:f>
          </x14:formula1>
          <xm:sqref>C2:C24</xm:sqref>
        </x14:dataValidation>
        <x14:dataValidation type="list" xr:uid="{00000000-0002-0000-0B00-000001000000}">
          <x14:formula1>
            <xm:f>Lists!$B$2:$B$4</xm:f>
          </x14:formula1>
          <xm:sqref>D2:D24</xm:sqref>
        </x14:dataValidation>
        <x14:dataValidation type="list" xr:uid="{00000000-0002-0000-0B00-000002000000}">
          <x14:formula1>
            <xm:f>Lists!$D$2:$D$10</xm:f>
          </x14:formula1>
          <xm:sqref>E2:E24</xm:sqref>
        </x14:dataValidation>
        <x14:dataValidation type="list" xr:uid="{00000000-0002-0000-0B00-000003000000}">
          <x14:formula1>
            <xm:f>Lists!$A$2:$A$6</xm:f>
          </x14:formula1>
          <xm:sqref>O2:O24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50"/>
  <sheetViews>
    <sheetView workbookViewId="0"/>
  </sheetViews>
  <sheetFormatPr defaultRowHeight="13.8"/>
  <cols>
    <col min="1" max="1" width="28" customWidth="1"/>
    <col min="2" max="2" width="30" customWidth="1"/>
    <col min="3" max="3" width="38" customWidth="1"/>
    <col min="4" max="4" width="34" customWidth="1"/>
    <col min="5" max="5" width="24" customWidth="1"/>
    <col min="6" max="6" width="10" customWidth="1"/>
    <col min="7" max="7" width="38" customWidth="1"/>
    <col min="8" max="9" width="14" customWidth="1"/>
    <col min="10" max="10" width="32" customWidth="1"/>
    <col min="11" max="11" width="28" customWidth="1"/>
    <col min="12" max="12" width="32" customWidth="1"/>
  </cols>
  <sheetData>
    <row r="1" spans="1:26">
      <c r="A1" s="2" t="s">
        <v>1042</v>
      </c>
      <c r="B1" s="2" t="s">
        <v>1043</v>
      </c>
      <c r="C1" s="2" t="s">
        <v>1044</v>
      </c>
      <c r="D1" s="2" t="s">
        <v>446</v>
      </c>
      <c r="E1" s="2" t="s">
        <v>1045</v>
      </c>
      <c r="F1" s="2" t="s">
        <v>51</v>
      </c>
      <c r="G1" s="2" t="s">
        <v>1046</v>
      </c>
      <c r="H1" s="2" t="s">
        <v>82</v>
      </c>
      <c r="I1" s="2" t="s">
        <v>1047</v>
      </c>
      <c r="J1" s="2" t="s">
        <v>138</v>
      </c>
      <c r="K1" s="2" t="s">
        <v>1048</v>
      </c>
      <c r="L1" s="2" t="s">
        <v>1049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>
      <c r="A2" s="4" t="s">
        <v>1050</v>
      </c>
      <c r="B2" s="4" t="s">
        <v>1051</v>
      </c>
      <c r="C2" s="4" t="s">
        <v>1052</v>
      </c>
      <c r="D2" s="4" t="s">
        <v>1053</v>
      </c>
      <c r="E2" s="4" t="s">
        <v>1054</v>
      </c>
      <c r="F2" s="4">
        <v>86</v>
      </c>
      <c r="G2" s="4" t="s">
        <v>1055</v>
      </c>
      <c r="H2" s="4" t="s">
        <v>90</v>
      </c>
      <c r="I2" s="7"/>
      <c r="J2" s="4"/>
      <c r="K2" s="4" t="s">
        <v>1056</v>
      </c>
      <c r="L2" s="4" t="s">
        <v>1057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1.4">
      <c r="A3" s="4" t="s">
        <v>332</v>
      </c>
      <c r="B3" s="4" t="s">
        <v>1058</v>
      </c>
      <c r="C3" s="4" t="s">
        <v>1059</v>
      </c>
      <c r="D3" s="4" t="s">
        <v>1060</v>
      </c>
      <c r="E3" s="4" t="s">
        <v>1061</v>
      </c>
      <c r="F3" s="4">
        <v>88</v>
      </c>
      <c r="G3" s="4" t="s">
        <v>1062</v>
      </c>
      <c r="H3" s="4" t="s">
        <v>90</v>
      </c>
      <c r="I3" s="7"/>
      <c r="J3" s="4"/>
      <c r="K3" s="4" t="s">
        <v>1063</v>
      </c>
      <c r="L3" s="4" t="s">
        <v>1064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>
      <c r="A4" s="4" t="s">
        <v>1065</v>
      </c>
      <c r="B4" s="4" t="s">
        <v>1066</v>
      </c>
      <c r="C4" s="4" t="s">
        <v>1067</v>
      </c>
      <c r="D4" s="4" t="s">
        <v>1068</v>
      </c>
      <c r="E4" s="4" t="s">
        <v>1069</v>
      </c>
      <c r="F4" s="4">
        <v>88</v>
      </c>
      <c r="G4" s="4" t="s">
        <v>1070</v>
      </c>
      <c r="H4" s="4" t="s">
        <v>90</v>
      </c>
      <c r="I4" s="7"/>
      <c r="J4" s="4"/>
      <c r="K4" s="4" t="s">
        <v>1071</v>
      </c>
      <c r="L4" s="4" t="s">
        <v>1072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1.4">
      <c r="A5" s="4" t="s">
        <v>1073</v>
      </c>
      <c r="B5" s="4" t="s">
        <v>1074</v>
      </c>
      <c r="C5" s="4" t="s">
        <v>1075</v>
      </c>
      <c r="D5" s="4" t="s">
        <v>1076</v>
      </c>
      <c r="E5" s="4" t="s">
        <v>1077</v>
      </c>
      <c r="F5" s="4">
        <v>89</v>
      </c>
      <c r="G5" s="4" t="s">
        <v>1078</v>
      </c>
      <c r="H5" s="4" t="s">
        <v>90</v>
      </c>
      <c r="I5" s="7"/>
      <c r="J5" s="4"/>
      <c r="K5" s="4" t="s">
        <v>1079</v>
      </c>
      <c r="L5" s="4" t="s">
        <v>1080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1.4">
      <c r="A6" s="4" t="s">
        <v>1081</v>
      </c>
      <c r="B6" s="4" t="s">
        <v>1082</v>
      </c>
      <c r="C6" s="4" t="s">
        <v>1083</v>
      </c>
      <c r="D6" s="4" t="s">
        <v>1084</v>
      </c>
      <c r="E6" s="4" t="s">
        <v>1085</v>
      </c>
      <c r="F6" s="4">
        <v>89</v>
      </c>
      <c r="G6" s="4" t="s">
        <v>1086</v>
      </c>
      <c r="H6" s="4" t="s">
        <v>90</v>
      </c>
      <c r="I6" s="7"/>
      <c r="J6" s="4"/>
      <c r="K6" s="4" t="s">
        <v>1087</v>
      </c>
      <c r="L6" s="4" t="s">
        <v>1088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4">
      <c r="A7" s="4" t="s">
        <v>1089</v>
      </c>
      <c r="B7" s="4" t="s">
        <v>1090</v>
      </c>
      <c r="C7" s="4" t="s">
        <v>1091</v>
      </c>
      <c r="D7" s="4" t="s">
        <v>1092</v>
      </c>
      <c r="E7" s="4" t="s">
        <v>1093</v>
      </c>
      <c r="F7" s="4">
        <v>80</v>
      </c>
      <c r="G7" s="4" t="s">
        <v>1094</v>
      </c>
      <c r="H7" s="4" t="s">
        <v>90</v>
      </c>
      <c r="I7" s="7"/>
      <c r="J7" s="4"/>
      <c r="K7" s="4" t="s">
        <v>1095</v>
      </c>
      <c r="L7" s="4" t="s">
        <v>1096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4" t="s">
        <v>1097</v>
      </c>
      <c r="B8" s="4" t="s">
        <v>1098</v>
      </c>
      <c r="C8" s="4" t="s">
        <v>1099</v>
      </c>
      <c r="D8" s="4" t="s">
        <v>1100</v>
      </c>
      <c r="E8" s="4" t="s">
        <v>1101</v>
      </c>
      <c r="F8" s="4">
        <v>90</v>
      </c>
      <c r="G8" s="4" t="s">
        <v>1102</v>
      </c>
      <c r="H8" s="4" t="s">
        <v>90</v>
      </c>
      <c r="I8" s="7"/>
      <c r="J8" s="4"/>
      <c r="K8" s="4" t="s">
        <v>1103</v>
      </c>
      <c r="L8" s="4" t="s">
        <v>1104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C00-000000000000}">
          <x14:formula1>
            <xm:f>Lists!$A$2:$A$6</xm:f>
          </x14:formula1>
          <xm:sqref>H2:H8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50"/>
  <sheetViews>
    <sheetView workbookViewId="0"/>
  </sheetViews>
  <sheetFormatPr defaultRowHeight="13.8"/>
  <cols>
    <col min="1" max="2" width="28" customWidth="1"/>
    <col min="3" max="3" width="34" customWidth="1"/>
    <col min="4" max="4" width="42" customWidth="1"/>
    <col min="5" max="5" width="28" customWidth="1"/>
    <col min="6" max="6" width="22" customWidth="1"/>
    <col min="7" max="8" width="14" customWidth="1"/>
    <col min="9" max="9" width="10" customWidth="1"/>
    <col min="10" max="10" width="26" customWidth="1"/>
    <col min="11" max="11" width="32" customWidth="1"/>
  </cols>
  <sheetData>
    <row r="1" spans="1:26">
      <c r="A1" s="2" t="s">
        <v>1105</v>
      </c>
      <c r="B1" s="2" t="s">
        <v>1106</v>
      </c>
      <c r="C1" s="2" t="s">
        <v>1107</v>
      </c>
      <c r="D1" s="2" t="s">
        <v>1108</v>
      </c>
      <c r="E1" s="2" t="s">
        <v>1109</v>
      </c>
      <c r="F1" s="2" t="s">
        <v>765</v>
      </c>
      <c r="G1" s="2" t="s">
        <v>1110</v>
      </c>
      <c r="H1" s="2" t="s">
        <v>82</v>
      </c>
      <c r="I1" s="2" t="s">
        <v>51</v>
      </c>
      <c r="J1" s="2" t="s">
        <v>1111</v>
      </c>
      <c r="K1" s="2" t="s">
        <v>1112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4" t="s">
        <v>1113</v>
      </c>
      <c r="B2" s="4" t="s">
        <v>1114</v>
      </c>
      <c r="C2" s="4" t="s">
        <v>1115</v>
      </c>
      <c r="D2" s="4" t="s">
        <v>1116</v>
      </c>
      <c r="E2" s="4"/>
      <c r="F2" s="4" t="s">
        <v>1117</v>
      </c>
      <c r="G2" s="4">
        <v>0</v>
      </c>
      <c r="H2" s="4" t="s">
        <v>90</v>
      </c>
      <c r="I2" s="4">
        <v>75</v>
      </c>
      <c r="J2" s="4" t="s">
        <v>1118</v>
      </c>
      <c r="K2" s="4" t="s">
        <v>1119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4" t="s">
        <v>1120</v>
      </c>
      <c r="B3" s="4" t="s">
        <v>1121</v>
      </c>
      <c r="C3" s="4" t="s">
        <v>1122</v>
      </c>
      <c r="D3" s="4" t="s">
        <v>1123</v>
      </c>
      <c r="E3" s="4"/>
      <c r="F3" s="4" t="s">
        <v>1117</v>
      </c>
      <c r="G3" s="4">
        <v>0</v>
      </c>
      <c r="H3" s="4" t="s">
        <v>90</v>
      </c>
      <c r="I3" s="4">
        <v>82</v>
      </c>
      <c r="J3" s="4" t="s">
        <v>1124</v>
      </c>
      <c r="K3" s="4" t="s">
        <v>1125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 t="s">
        <v>1126</v>
      </c>
      <c r="B4" s="4" t="s">
        <v>1127</v>
      </c>
      <c r="C4" s="4" t="s">
        <v>1128</v>
      </c>
      <c r="D4" s="4" t="s">
        <v>1129</v>
      </c>
      <c r="E4" s="4"/>
      <c r="F4" s="4" t="s">
        <v>1130</v>
      </c>
      <c r="G4" s="4">
        <v>0</v>
      </c>
      <c r="H4" s="4" t="s">
        <v>90</v>
      </c>
      <c r="I4" s="4">
        <v>76</v>
      </c>
      <c r="J4" s="4" t="s">
        <v>1118</v>
      </c>
      <c r="K4" s="4" t="s">
        <v>1131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 t="s">
        <v>1132</v>
      </c>
      <c r="B5" s="4" t="s">
        <v>1133</v>
      </c>
      <c r="C5" s="4" t="s">
        <v>1134</v>
      </c>
      <c r="D5" s="4" t="s">
        <v>1135</v>
      </c>
      <c r="E5" s="4"/>
      <c r="F5" s="4" t="s">
        <v>1136</v>
      </c>
      <c r="G5" s="4">
        <v>0</v>
      </c>
      <c r="H5" s="4" t="s">
        <v>90</v>
      </c>
      <c r="I5" s="4">
        <v>80</v>
      </c>
      <c r="J5" s="4" t="s">
        <v>1118</v>
      </c>
      <c r="K5" s="4" t="s">
        <v>1137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 t="s">
        <v>1138</v>
      </c>
      <c r="B6" s="4" t="s">
        <v>1139</v>
      </c>
      <c r="C6" s="4" t="s">
        <v>1140</v>
      </c>
      <c r="D6" s="4" t="s">
        <v>1141</v>
      </c>
      <c r="E6" s="4"/>
      <c r="F6" s="4" t="s">
        <v>1142</v>
      </c>
      <c r="G6" s="4">
        <v>0</v>
      </c>
      <c r="H6" s="4" t="s">
        <v>90</v>
      </c>
      <c r="I6" s="4">
        <v>80</v>
      </c>
      <c r="J6" s="4" t="s">
        <v>1143</v>
      </c>
      <c r="K6" s="4" t="s">
        <v>1144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4">
      <c r="A7" s="4" t="s">
        <v>1145</v>
      </c>
      <c r="B7" s="4" t="s">
        <v>1146</v>
      </c>
      <c r="C7" s="4" t="s">
        <v>1147</v>
      </c>
      <c r="D7" s="4" t="s">
        <v>1148</v>
      </c>
      <c r="E7" s="4"/>
      <c r="F7" s="4" t="s">
        <v>1149</v>
      </c>
      <c r="G7" s="4">
        <v>0</v>
      </c>
      <c r="H7" s="4" t="s">
        <v>90</v>
      </c>
      <c r="I7" s="4">
        <v>82</v>
      </c>
      <c r="J7" s="4" t="s">
        <v>1118</v>
      </c>
      <c r="K7" s="4" t="s">
        <v>1150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1.4">
      <c r="A8" s="4" t="s">
        <v>1151</v>
      </c>
      <c r="B8" s="4" t="s">
        <v>1152</v>
      </c>
      <c r="C8" s="4" t="s">
        <v>1153</v>
      </c>
      <c r="D8" s="4" t="s">
        <v>1154</v>
      </c>
      <c r="E8" s="4"/>
      <c r="F8" s="4" t="s">
        <v>1155</v>
      </c>
      <c r="G8" s="4">
        <v>0</v>
      </c>
      <c r="H8" s="4" t="s">
        <v>90</v>
      </c>
      <c r="I8" s="4">
        <v>84</v>
      </c>
      <c r="J8" s="4" t="s">
        <v>1156</v>
      </c>
      <c r="K8" s="4" t="s">
        <v>1157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4" t="s">
        <v>1158</v>
      </c>
      <c r="B9" s="4" t="s">
        <v>1159</v>
      </c>
      <c r="C9" s="4" t="s">
        <v>1160</v>
      </c>
      <c r="D9" s="4" t="s">
        <v>1161</v>
      </c>
      <c r="E9" s="4"/>
      <c r="F9" s="4" t="s">
        <v>1162</v>
      </c>
      <c r="G9" s="4">
        <v>0</v>
      </c>
      <c r="H9" s="4" t="s">
        <v>90</v>
      </c>
      <c r="I9" s="4">
        <v>85</v>
      </c>
      <c r="J9" s="4" t="s">
        <v>1163</v>
      </c>
      <c r="K9" s="4" t="s">
        <v>1164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dataValidations count="1">
    <dataValidation type="decimal" sqref="G2:G9" xr:uid="{00000000-0002-0000-0D00-000000000000}">
      <formula1>0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D00-000001000000}">
          <x14:formula1>
            <xm:f>Lists!$A$2:$A$6</xm:f>
          </x14:formula1>
          <xm:sqref>H2:H9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50"/>
  <sheetViews>
    <sheetView workbookViewId="0"/>
  </sheetViews>
  <sheetFormatPr defaultRowHeight="13.8"/>
  <sheetData>
    <row r="1" spans="1:26">
      <c r="A1" s="1" t="s">
        <v>82</v>
      </c>
      <c r="B1" s="1" t="s">
        <v>75</v>
      </c>
      <c r="C1" s="1" t="s">
        <v>384</v>
      </c>
      <c r="D1" s="1" t="s">
        <v>796</v>
      </c>
      <c r="E1" s="1" t="s">
        <v>83</v>
      </c>
      <c r="F1" s="1" t="s">
        <v>1165</v>
      </c>
      <c r="G1" s="1" t="s">
        <v>1166</v>
      </c>
      <c r="H1" s="1" t="s">
        <v>120</v>
      </c>
      <c r="I1" s="1" t="s">
        <v>642</v>
      </c>
      <c r="J1" s="1" t="s">
        <v>674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90</v>
      </c>
      <c r="B2" s="1" t="s">
        <v>809</v>
      </c>
      <c r="C2" s="1" t="s">
        <v>398</v>
      </c>
      <c r="D2" s="1" t="s">
        <v>384</v>
      </c>
      <c r="E2" s="1" t="s">
        <v>817</v>
      </c>
      <c r="F2" s="1" t="s">
        <v>540</v>
      </c>
      <c r="G2" s="1" t="s">
        <v>1167</v>
      </c>
      <c r="H2" s="1" t="s">
        <v>664</v>
      </c>
      <c r="I2" s="1" t="s">
        <v>646</v>
      </c>
      <c r="J2" s="1" t="s">
        <v>245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1168</v>
      </c>
      <c r="B3" s="1" t="s">
        <v>945</v>
      </c>
      <c r="C3" s="1" t="s">
        <v>161</v>
      </c>
      <c r="D3" s="1" t="s">
        <v>862</v>
      </c>
      <c r="E3" s="1" t="s">
        <v>1169</v>
      </c>
      <c r="F3" s="1" t="s">
        <v>1170</v>
      </c>
      <c r="G3" s="1" t="s">
        <v>1171</v>
      </c>
      <c r="H3" s="1" t="s">
        <v>733</v>
      </c>
      <c r="I3" s="1" t="s">
        <v>1172</v>
      </c>
      <c r="J3" s="1" t="s">
        <v>1169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1173</v>
      </c>
      <c r="B4" s="1" t="s">
        <v>1174</v>
      </c>
      <c r="C4" s="1" t="s">
        <v>162</v>
      </c>
      <c r="D4" s="1" t="s">
        <v>851</v>
      </c>
      <c r="E4" s="1" t="s">
        <v>1175</v>
      </c>
      <c r="F4" s="1" t="s">
        <v>1176</v>
      </c>
      <c r="G4" s="1" t="s">
        <v>1177</v>
      </c>
      <c r="H4" s="1" t="s">
        <v>123</v>
      </c>
      <c r="I4" s="1" t="s">
        <v>1178</v>
      </c>
      <c r="J4" s="1" t="s">
        <v>769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1179</v>
      </c>
      <c r="B5" s="1"/>
      <c r="C5" s="1" t="s">
        <v>163</v>
      </c>
      <c r="D5" s="1" t="s">
        <v>893</v>
      </c>
      <c r="E5" s="1"/>
      <c r="F5" s="1"/>
      <c r="G5" s="1" t="s">
        <v>1180</v>
      </c>
      <c r="H5" s="1" t="s">
        <v>126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1181</v>
      </c>
      <c r="B6" s="1"/>
      <c r="C6" s="1" t="s">
        <v>840</v>
      </c>
      <c r="D6" s="1" t="s">
        <v>830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 t="s">
        <v>25</v>
      </c>
      <c r="D7" s="1" t="s">
        <v>966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 t="s">
        <v>965</v>
      </c>
      <c r="D8" s="1" t="s">
        <v>841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 t="s">
        <v>808</v>
      </c>
      <c r="D9" s="1" t="s">
        <v>994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 t="s">
        <v>820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Dashboard</vt:lpstr>
      <vt:lpstr>North Star &amp; Role</vt:lpstr>
      <vt:lpstr>90-Day Program</vt:lpstr>
      <vt:lpstr>Daily 2-Hour Plan</vt:lpstr>
      <vt:lpstr>Product Portfolio</vt:lpstr>
      <vt:lpstr>Design Partner Program</vt:lpstr>
      <vt:lpstr>Competitive Landscape</vt:lpstr>
      <vt:lpstr>Google Commercial Value</vt:lpstr>
      <vt:lpstr>Founder Decision Log</vt:lpstr>
      <vt:lpstr>Historical Portfolio</vt:lpstr>
      <vt:lpstr>IP Clean-Room Review</vt:lpstr>
      <vt:lpstr>Codex Execution Backlog</vt:lpstr>
      <vt:lpstr>Launch &amp; Prominence</vt:lpstr>
      <vt:lpstr>Google Launch Package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Sarkar</dc:creator>
  <cp:lastModifiedBy>Rick Sarkar</cp:lastModifiedBy>
  <dcterms:created xsi:type="dcterms:W3CDTF">2026-07-17T06:10:21Z</dcterms:created>
  <dcterms:modified xsi:type="dcterms:W3CDTF">2026-07-17T06:10:22Z</dcterms:modified>
</cp:coreProperties>
</file>